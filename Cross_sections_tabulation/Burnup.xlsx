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3s9\Desktop\Project_255\Cross_sections_tabulation\"/>
    </mc:Choice>
  </mc:AlternateContent>
  <xr:revisionPtr revIDLastSave="0" documentId="13_ncr:1_{7E3531ED-022E-4BB1-BF93-53F2719CC8CD}" xr6:coauthVersionLast="44" xr6:coauthVersionMax="44" xr10:uidLastSave="{00000000-0000-0000-0000-000000000000}"/>
  <bookViews>
    <workbookView xWindow="-96" yWindow="-96" windowWidth="21132" windowHeight="13152" activeTab="1" xr2:uid="{8E251849-8680-4BED-B149-C66AEB8075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M1" i="2" l="1"/>
  <c r="EE2" i="2"/>
  <c r="EB2" i="2"/>
  <c r="DX2" i="2"/>
  <c r="EI2" i="2" l="1"/>
  <c r="EB8" i="2" s="1"/>
  <c r="EB4" i="2"/>
  <c r="EB5" i="2"/>
  <c r="EB7" i="2"/>
  <c r="EB9" i="2"/>
  <c r="DX9" i="2"/>
  <c r="DY9" i="2" s="1"/>
  <c r="DY2" i="2"/>
  <c r="DX5" i="2"/>
  <c r="DY5" i="2" s="1"/>
  <c r="DX3" i="2"/>
  <c r="DY3" i="2" s="1"/>
  <c r="DX6" i="2"/>
  <c r="DZ6" i="2" s="1"/>
  <c r="DX4" i="2"/>
  <c r="DY4" i="2" s="1"/>
  <c r="DX8" i="2"/>
  <c r="DY8" i="2" s="1"/>
  <c r="DX7" i="2"/>
  <c r="DY7" i="2" s="1"/>
  <c r="R1" i="1"/>
  <c r="D3" i="1"/>
  <c r="D2" i="1"/>
  <c r="D4" i="1"/>
  <c r="D6" i="1"/>
  <c r="D5" i="1"/>
  <c r="D7" i="1"/>
  <c r="D8" i="1"/>
  <c r="D9" i="1"/>
  <c r="EB6" i="2" l="1"/>
  <c r="EB3" i="2"/>
  <c r="EC2" i="2"/>
  <c r="ED2" i="2" s="1"/>
  <c r="EF2" i="2" s="1"/>
  <c r="DY6" i="2"/>
  <c r="EA6" i="2" s="1"/>
  <c r="DZ9" i="2"/>
  <c r="EA9" i="2" s="1"/>
  <c r="DZ2" i="2"/>
  <c r="EA2" i="2" s="1"/>
  <c r="DZ5" i="2"/>
  <c r="EA5" i="2" s="1"/>
  <c r="DZ8" i="2"/>
  <c r="EA8" i="2" s="1"/>
  <c r="DZ4" i="2"/>
  <c r="EA4" i="2" s="1"/>
  <c r="DZ7" i="2"/>
  <c r="EA7" i="2" s="1"/>
  <c r="DZ3" i="2"/>
  <c r="EA3" i="2" s="1"/>
  <c r="EC9" i="2"/>
  <c r="ED9" i="2" s="1"/>
  <c r="EF9" i="2" s="1"/>
  <c r="EC5" i="2"/>
  <c r="ED5" i="2" s="1"/>
  <c r="EF5" i="2" s="1"/>
  <c r="EC3" i="2"/>
  <c r="ED3" i="2" s="1"/>
  <c r="EF3" i="2" s="1"/>
  <c r="EC8" i="2"/>
  <c r="ED8" i="2" s="1"/>
  <c r="EF8" i="2" s="1"/>
  <c r="EC7" i="2"/>
  <c r="ED7" i="2" s="1"/>
  <c r="EF7" i="2" s="1"/>
  <c r="EC6" i="2"/>
  <c r="ED6" i="2" s="1"/>
  <c r="EF6" i="2" s="1"/>
  <c r="EC4" i="2"/>
  <c r="ED4" i="2" s="1"/>
  <c r="EF4" i="2" s="1"/>
  <c r="EE7" i="2" l="1"/>
  <c r="EE3" i="2"/>
  <c r="EE4" i="2"/>
  <c r="EE6" i="2"/>
  <c r="EE9" i="2"/>
  <c r="EE8" i="2"/>
  <c r="EE5" i="2"/>
</calcChain>
</file>

<file path=xl/sharedStrings.xml><?xml version="1.0" encoding="utf-8"?>
<sst xmlns="http://schemas.openxmlformats.org/spreadsheetml/2006/main" count="285" uniqueCount="277">
  <si>
    <t>92235.09c</t>
  </si>
  <si>
    <t>mat</t>
  </si>
  <si>
    <t>fuel_2</t>
  </si>
  <si>
    <t>fuel_1</t>
  </si>
  <si>
    <t>fuel_3</t>
  </si>
  <si>
    <t>fuel_4</t>
  </si>
  <si>
    <t>fuel_5</t>
  </si>
  <si>
    <t>fuel_6</t>
  </si>
  <si>
    <t>fuel_7</t>
  </si>
  <si>
    <t>fuel_8</t>
  </si>
  <si>
    <t>Material</t>
  </si>
  <si>
    <t>92238.09c</t>
  </si>
  <si>
    <t>U235</t>
  </si>
  <si>
    <t>U238</t>
  </si>
  <si>
    <t>SUM</t>
  </si>
  <si>
    <t>98249.09c</t>
  </si>
  <si>
    <t>48113.09c</t>
  </si>
  <si>
    <t>48111.09c</t>
  </si>
  <si>
    <t>48110.09c</t>
  </si>
  <si>
    <t>48114.09c</t>
  </si>
  <si>
    <t>62147.09c</t>
  </si>
  <si>
    <t>40092.09c</t>
  </si>
  <si>
    <t>40093.09c</t>
  </si>
  <si>
    <t>40091.09c</t>
  </si>
  <si>
    <t>40096.09c</t>
  </si>
  <si>
    <t>40094.09c</t>
  </si>
  <si>
    <t>40095.09c</t>
  </si>
  <si>
    <t>46106.09c</t>
  </si>
  <si>
    <t>46107.09c</t>
  </si>
  <si>
    <t>6000.09c</t>
  </si>
  <si>
    <t>46105.09c</t>
  </si>
  <si>
    <t>63154.09c</t>
  </si>
  <si>
    <t>63155.09c</t>
  </si>
  <si>
    <t>46108.09c</t>
  </si>
  <si>
    <t>63153.09c</t>
  </si>
  <si>
    <t>64155.09c</t>
  </si>
  <si>
    <t>94240.09c</t>
  </si>
  <si>
    <t>64157.09c</t>
  </si>
  <si>
    <t>64156.09c</t>
  </si>
  <si>
    <t>64158.09c</t>
  </si>
  <si>
    <t>96247.09c</t>
  </si>
  <si>
    <t>58141.09c</t>
  </si>
  <si>
    <t>45105.09c</t>
  </si>
  <si>
    <t>58143.09c</t>
  </si>
  <si>
    <t>58142.09c</t>
  </si>
  <si>
    <t>59143.09c</t>
  </si>
  <si>
    <t>59141.09c</t>
  </si>
  <si>
    <t>94239.09c</t>
  </si>
  <si>
    <t>94238.09c</t>
  </si>
  <si>
    <t>94237.09c</t>
  </si>
  <si>
    <t>94236.09c</t>
  </si>
  <si>
    <t>8016.09c</t>
  </si>
  <si>
    <t>54134.09c</t>
  </si>
  <si>
    <t>54135.09c</t>
  </si>
  <si>
    <t>54136.09c</t>
  </si>
  <si>
    <t>54131.09c</t>
  </si>
  <si>
    <t>54132.09c</t>
  </si>
  <si>
    <t>93236.09c</t>
  </si>
  <si>
    <t>93237.09c</t>
  </si>
  <si>
    <t>55137.09c</t>
  </si>
  <si>
    <t>93238.09c</t>
  </si>
  <si>
    <t>55134.09c</t>
  </si>
  <si>
    <t>55133.09c</t>
  </si>
  <si>
    <t>49115.09c</t>
  </si>
  <si>
    <t>42100.09c</t>
  </si>
  <si>
    <t>90233.09c</t>
  </si>
  <si>
    <t>90232.09c</t>
  </si>
  <si>
    <t>56138.09c</t>
  </si>
  <si>
    <t>45103.09c</t>
  </si>
  <si>
    <t>96244.09c</t>
  </si>
  <si>
    <t>96245.09c</t>
  </si>
  <si>
    <t>96246.09c</t>
  </si>
  <si>
    <t>91233.09c</t>
  </si>
  <si>
    <t>46104.09c</t>
  </si>
  <si>
    <t>96242.09c</t>
  </si>
  <si>
    <t>96243.09c</t>
  </si>
  <si>
    <t>96248.09c</t>
  </si>
  <si>
    <t>39091.09c</t>
  </si>
  <si>
    <t>44104.09c</t>
  </si>
  <si>
    <t>44105.09c</t>
  </si>
  <si>
    <t>44106.09c</t>
  </si>
  <si>
    <t>92239.09c</t>
  </si>
  <si>
    <t>44101.09c</t>
  </si>
  <si>
    <t>44102.09c</t>
  </si>
  <si>
    <t>44103.09c</t>
  </si>
  <si>
    <t>92234.09c</t>
  </si>
  <si>
    <t>92237.09c</t>
  </si>
  <si>
    <t>92236.09c</t>
  </si>
  <si>
    <t>63156.09c</t>
  </si>
  <si>
    <t>92233.09c</t>
  </si>
  <si>
    <t>60150.09c</t>
  </si>
  <si>
    <t>37087.09c</t>
  </si>
  <si>
    <t>37085.09c</t>
  </si>
  <si>
    <t>93239.09c</t>
  </si>
  <si>
    <t>38090.09c</t>
  </si>
  <si>
    <t>46110.09c</t>
  </si>
  <si>
    <t>60146.09c</t>
  </si>
  <si>
    <t>60147.09c</t>
  </si>
  <si>
    <t>95243.09c</t>
  </si>
  <si>
    <t>60145.09c</t>
  </si>
  <si>
    <t>95244.09c</t>
  </si>
  <si>
    <t>94244.09c</t>
  </si>
  <si>
    <t>94242.09c</t>
  </si>
  <si>
    <t>94243.09c</t>
  </si>
  <si>
    <t>60148.09c</t>
  </si>
  <si>
    <t>94241.09c</t>
  </si>
  <si>
    <t>53127.09c</t>
  </si>
  <si>
    <t>61147.09c</t>
  </si>
  <si>
    <t>61149.09c</t>
  </si>
  <si>
    <t>61148.09c</t>
  </si>
  <si>
    <t>53129.09c</t>
  </si>
  <si>
    <t>38088.09c</t>
  </si>
  <si>
    <t>38089.09c</t>
  </si>
  <si>
    <t>56140.09c</t>
  </si>
  <si>
    <t>43099.09c</t>
  </si>
  <si>
    <t>35081.09c</t>
  </si>
  <si>
    <t>36083.09c</t>
  </si>
  <si>
    <t>36084.09c</t>
  </si>
  <si>
    <t>36086.09c</t>
  </si>
  <si>
    <t>62149.09c</t>
  </si>
  <si>
    <t>47109.09c</t>
  </si>
  <si>
    <t>42095.09c</t>
  </si>
  <si>
    <t>42097.09c</t>
  </si>
  <si>
    <t>42098.09c</t>
  </si>
  <si>
    <t>42099.09c</t>
  </si>
  <si>
    <t>98250.09c</t>
  </si>
  <si>
    <t>62154.09c</t>
  </si>
  <si>
    <t>62153.09c</t>
  </si>
  <si>
    <t>62152.09c</t>
  </si>
  <si>
    <t>62151.09c</t>
  </si>
  <si>
    <t>62150.09c</t>
  </si>
  <si>
    <t>39089.09c</t>
  </si>
  <si>
    <t>57139.09c</t>
  </si>
  <si>
    <t>95241.09c</t>
  </si>
  <si>
    <t>60144.09c</t>
  </si>
  <si>
    <t>97249.09c</t>
  </si>
  <si>
    <t>95242.09c</t>
  </si>
  <si>
    <t>55135.09c</t>
  </si>
  <si>
    <t>60143.09c</t>
  </si>
  <si>
    <t>TOT</t>
  </si>
  <si>
    <t>98249</t>
  </si>
  <si>
    <t>48113</t>
  </si>
  <si>
    <t>48111</t>
  </si>
  <si>
    <t>48110</t>
  </si>
  <si>
    <t>48114</t>
  </si>
  <si>
    <t>62147</t>
  </si>
  <si>
    <t>40092</t>
  </si>
  <si>
    <t>40093</t>
  </si>
  <si>
    <t>40091</t>
  </si>
  <si>
    <t>40096</t>
  </si>
  <si>
    <t>40094</t>
  </si>
  <si>
    <t>40095</t>
  </si>
  <si>
    <t>46106</t>
  </si>
  <si>
    <t>46107</t>
  </si>
  <si>
    <t>6000</t>
  </si>
  <si>
    <t>46105</t>
  </si>
  <si>
    <t>63154</t>
  </si>
  <si>
    <t>63155</t>
  </si>
  <si>
    <t>46108</t>
  </si>
  <si>
    <t>63153</t>
  </si>
  <si>
    <t>64155</t>
  </si>
  <si>
    <t>94240</t>
  </si>
  <si>
    <t>64157</t>
  </si>
  <si>
    <t>64156</t>
  </si>
  <si>
    <t>64158</t>
  </si>
  <si>
    <t>96247</t>
  </si>
  <si>
    <t>58141</t>
  </si>
  <si>
    <t>45105</t>
  </si>
  <si>
    <t>58143</t>
  </si>
  <si>
    <t>58142</t>
  </si>
  <si>
    <t>59143</t>
  </si>
  <si>
    <t>59141</t>
  </si>
  <si>
    <t>94239</t>
  </si>
  <si>
    <t>94238</t>
  </si>
  <si>
    <t>94237</t>
  </si>
  <si>
    <t>94236</t>
  </si>
  <si>
    <t>8016</t>
  </si>
  <si>
    <t>54134</t>
  </si>
  <si>
    <t>54135</t>
  </si>
  <si>
    <t>54136</t>
  </si>
  <si>
    <t>54131</t>
  </si>
  <si>
    <t>54132</t>
  </si>
  <si>
    <t>93236</t>
  </si>
  <si>
    <t>93237</t>
  </si>
  <si>
    <t>55137</t>
  </si>
  <si>
    <t>93238</t>
  </si>
  <si>
    <t>55134</t>
  </si>
  <si>
    <t>55133</t>
  </si>
  <si>
    <t>49115</t>
  </si>
  <si>
    <t>42100</t>
  </si>
  <si>
    <t>90233</t>
  </si>
  <si>
    <t>90232</t>
  </si>
  <si>
    <t>56138</t>
  </si>
  <si>
    <t>45103</t>
  </si>
  <si>
    <t>96244</t>
  </si>
  <si>
    <t>96245</t>
  </si>
  <si>
    <t>96246</t>
  </si>
  <si>
    <t>91233</t>
  </si>
  <si>
    <t>46104</t>
  </si>
  <si>
    <t>96242</t>
  </si>
  <si>
    <t>96243</t>
  </si>
  <si>
    <t>96248</t>
  </si>
  <si>
    <t>39091</t>
  </si>
  <si>
    <t>44104</t>
  </si>
  <si>
    <t>44105</t>
  </si>
  <si>
    <t>44106</t>
  </si>
  <si>
    <t>92239</t>
  </si>
  <si>
    <t>44101</t>
  </si>
  <si>
    <t>44102</t>
  </si>
  <si>
    <t>44103</t>
  </si>
  <si>
    <t>92235</t>
  </si>
  <si>
    <t>92234</t>
  </si>
  <si>
    <t>92237</t>
  </si>
  <si>
    <t>92236</t>
  </si>
  <si>
    <t>63156</t>
  </si>
  <si>
    <t>92233</t>
  </si>
  <si>
    <t>60150</t>
  </si>
  <si>
    <t>37087</t>
  </si>
  <si>
    <t>37085</t>
  </si>
  <si>
    <t>93239</t>
  </si>
  <si>
    <t>38090</t>
  </si>
  <si>
    <t>46110</t>
  </si>
  <si>
    <t>60146</t>
  </si>
  <si>
    <t>60147</t>
  </si>
  <si>
    <t>95243</t>
  </si>
  <si>
    <t>60145</t>
  </si>
  <si>
    <t>95244</t>
  </si>
  <si>
    <t>94244</t>
  </si>
  <si>
    <t>94242</t>
  </si>
  <si>
    <t>94243</t>
  </si>
  <si>
    <t>60148</t>
  </si>
  <si>
    <t>94241</t>
  </si>
  <si>
    <t>53127</t>
  </si>
  <si>
    <t>61147</t>
  </si>
  <si>
    <t>61149</t>
  </si>
  <si>
    <t>61148</t>
  </si>
  <si>
    <t>53129</t>
  </si>
  <si>
    <t>38088</t>
  </si>
  <si>
    <t>38089</t>
  </si>
  <si>
    <t>56140</t>
  </si>
  <si>
    <t>43099</t>
  </si>
  <si>
    <t>35081</t>
  </si>
  <si>
    <t>36083</t>
  </si>
  <si>
    <t>36084</t>
  </si>
  <si>
    <t>36086</t>
  </si>
  <si>
    <t>62149</t>
  </si>
  <si>
    <t>47109</t>
  </si>
  <si>
    <t>42095</t>
  </si>
  <si>
    <t>42097</t>
  </si>
  <si>
    <t>42098</t>
  </si>
  <si>
    <t>42099</t>
  </si>
  <si>
    <t>92238</t>
  </si>
  <si>
    <t>98250</t>
  </si>
  <si>
    <t>62154</t>
  </si>
  <si>
    <t>62153</t>
  </si>
  <si>
    <t>62152</t>
  </si>
  <si>
    <t>62151</t>
  </si>
  <si>
    <t>62150</t>
  </si>
  <si>
    <t>39089</t>
  </si>
  <si>
    <t>57139</t>
  </si>
  <si>
    <t>95241</t>
  </si>
  <si>
    <t>60144</t>
  </si>
  <si>
    <t>97249</t>
  </si>
  <si>
    <t>95242</t>
  </si>
  <si>
    <t>55135</t>
  </si>
  <si>
    <t>60143</t>
  </si>
  <si>
    <t>fract1</t>
  </si>
  <si>
    <t>fract2</t>
  </si>
  <si>
    <t>enrich</t>
  </si>
  <si>
    <t>at ini</t>
  </si>
  <si>
    <t>u235 ini</t>
  </si>
  <si>
    <t>at cons</t>
  </si>
  <si>
    <t>Efis (MJ)</t>
  </si>
  <si>
    <t>Efis (MWj)</t>
  </si>
  <si>
    <t>BU (MWj/t_HM)</t>
  </si>
  <si>
    <t>m_ini (t)</t>
  </si>
  <si>
    <t>BU (GWj/t_HM)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</si>
</sst>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64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" formatCode="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U235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Sheet1!$D$2:$D$9</c:f>
              <c:numCache>
                <c:formatCode>0.00E+00</c:formatCode>
                <c:ptCount val="8"/>
                <c:pt idx="0">
                  <c:v>2.4904794E-3</c:v>
                </c:pt>
                <c:pt idx="1">
                  <c:v>2.4899748000000001E-3</c:v>
                </c:pt>
                <c:pt idx="2">
                  <c:v>2.2671644E-3</c:v>
                </c:pt>
                <c:pt idx="3">
                  <c:v>2.1577443000000002E-3</c:v>
                </c:pt>
                <c:pt idx="4">
                  <c:v>2.1497680999999999E-3</c:v>
                </c:pt>
                <c:pt idx="5">
                  <c:v>2.0855115999999997E-3</c:v>
                </c:pt>
                <c:pt idx="6">
                  <c:v>2.0724571999999998E-3</c:v>
                </c:pt>
                <c:pt idx="7">
                  <c:v>2.0048675999999998E-3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0-4E64-A4C0-C9C0A1396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799504"/>
        <c:axId val="933137840"/>
      </c:scatterChart>
      <c:valAx>
        <c:axId val="93779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37840"/>
        <c:crosses val="autoZero"/>
        <c:crossBetween val="midCat"/>
      </c:valAx>
      <c:valAx>
        <c:axId val="9331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9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603249</xdr:colOff>
      <xdr:row>10</xdr:row>
      <xdr:rowOff>33867</xdr:rowOff>
    </xdr:from>
    <xdr:to>
      <xdr:col>13</xdr:col>
      <xdr:colOff>27516</xdr:colOff>
      <xdr:row>25</xdr:row>
      <xdr:rowOff>46567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FD8EC-DDD1-4263-B8D7-AD892F16D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1FBC6-0EEB-4586-9BB5-75A38684E95D}" name="Table1" displayName="Table1" ref="A1:D9" totalsRowShown="0">
  <autoFilter ref="A1:D9" xr:uid="{C5281545-12E4-4D38-9AD3-BFF1C97F1416}"/>
  <sortState xmlns:xlrd2="http://schemas.microsoft.com/office/spreadsheetml/2017/richdata2" ref="A2:D9">
    <sortCondition descending="1" ref="D1:D9"/>
  </sortState>
  <tableColumns count="4">
    <tableColumn id="1" xr3:uid="{D9F51FAB-D1DB-4A9A-826F-2759D8116F81}" name="Material"/>
    <tableColumn id="2" xr3:uid="{92FBB79D-DC25-40E7-876F-043B1477F47C}" name="U235" dataDxfId="263"/>
    <tableColumn id="4" xr3:uid="{B3662913-0782-4CB0-B131-0F8E77562D20}" name="U238" dataDxfId="262"/>
    <tableColumn id="5" xr3:uid="{00D033EF-9FF0-453F-8202-5C82B76FA8AA}" name="SUM" dataDxfId="261">
      <calculatedColumnFormula>SUM(Table1[[#This Row],[U235]:[U238]])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C65091-575E-42EA-BE10-721C8AC01615}" name="Table3" displayName="Table3" ref="A1:EF10" totalsRowCount="1">
  <autoFilter ref="A1:EF9" xr:uid="{E68C706C-DF1E-4571-AA19-036E671305B3}"/>
  <sortState xmlns:xlrd2="http://schemas.microsoft.com/office/spreadsheetml/2017/richdata2" ref="A2:EF9">
    <sortCondition ref="EF1:EF9"/>
  </sortState>
  <tableColumns count="136">
    <tableColumn id="1" xr3:uid="{00C092FB-F20D-44C7-A794-9E79D58DE1B1}" name="mat"/>
    <tableColumn id="2" xr3:uid="{F9D719D9-5BA0-4273-A96E-7C7C9A13715C}" name="98249" dataDxfId="260" totalsRowDxfId="125"/>
    <tableColumn id="3" xr3:uid="{1B4C4E96-E5C0-49DD-8FD4-B570053F9F90}" name="48113" dataDxfId="259" totalsRowDxfId="124"/>
    <tableColumn id="4" xr3:uid="{A6C6D4A0-5BE7-40A3-BA06-82E80EFBBD2E}" name="48111" dataDxfId="258" totalsRowDxfId="123"/>
    <tableColumn id="5" xr3:uid="{5728CE53-F38B-4548-9EE3-6A8D21DE4E64}" name="48110" dataDxfId="257" totalsRowDxfId="122"/>
    <tableColumn id="6" xr3:uid="{E4444C80-1323-42AA-9015-2AEDBC4DB029}" name="48114" dataDxfId="256" totalsRowDxfId="121"/>
    <tableColumn id="7" xr3:uid="{4D875F29-6651-401A-BD62-523414961D5D}" name="62147" dataDxfId="255" totalsRowDxfId="120"/>
    <tableColumn id="8" xr3:uid="{32E6108D-6366-4ECA-A12D-948EEA2EB474}" name="40092" dataDxfId="254" totalsRowDxfId="119"/>
    <tableColumn id="9" xr3:uid="{56745F21-433C-4F7C-A025-85B5404F5B7E}" name="40093" dataDxfId="253" totalsRowDxfId="118"/>
    <tableColumn id="10" xr3:uid="{6EFF8F4E-3327-4500-8A2F-84237D68CFEA}" name="40091" dataDxfId="252" totalsRowDxfId="117"/>
    <tableColumn id="11" xr3:uid="{479F9C29-EDC0-4C9D-9A1D-7E76BB2B22D6}" name="40096" dataDxfId="251" totalsRowDxfId="116"/>
    <tableColumn id="12" xr3:uid="{EADD49D0-053E-4004-A6C0-45014EC0F80E}" name="40094" dataDxfId="250" totalsRowDxfId="115"/>
    <tableColumn id="13" xr3:uid="{19DD2430-0385-48EC-8B2B-85B0457D5F44}" name="40095" dataDxfId="249" totalsRowDxfId="114"/>
    <tableColumn id="14" xr3:uid="{F5C82B23-B058-4F4F-B101-409EAE3AC80F}" name="46106" dataDxfId="248" totalsRowDxfId="113"/>
    <tableColumn id="15" xr3:uid="{2763067D-2001-4162-9350-BCF1E563E7A1}" name="46107" dataDxfId="247" totalsRowDxfId="112"/>
    <tableColumn id="16" xr3:uid="{7CDF2623-962D-4213-A7CC-1115A095FD09}" name="6000" dataDxfId="246" totalsRowDxfId="111"/>
    <tableColumn id="17" xr3:uid="{0905A406-DC31-4FEC-AA8A-600C6A35670C}" name="46105" dataDxfId="245" totalsRowDxfId="110"/>
    <tableColumn id="18" xr3:uid="{62D089A2-C0D9-424C-AFF5-28C98DEC2FE1}" name="63154" dataDxfId="244" totalsRowDxfId="109"/>
    <tableColumn id="19" xr3:uid="{6150E4AE-91FB-4FEE-AB7E-3E499FECFA30}" name="63155" dataDxfId="243" totalsRowDxfId="108"/>
    <tableColumn id="20" xr3:uid="{0623C3E7-549D-4011-9783-A1466FA0CDCF}" name="46108" dataDxfId="242" totalsRowDxfId="107"/>
    <tableColumn id="21" xr3:uid="{B25B04F5-3FAA-48D8-B801-1349C22B9212}" name="63153" dataDxfId="241" totalsRowDxfId="106"/>
    <tableColumn id="22" xr3:uid="{F2CF4823-54DD-45C8-B277-26613AE6E527}" name="64155" dataDxfId="240" totalsRowDxfId="105"/>
    <tableColumn id="23" xr3:uid="{6186C9ED-E861-45FC-9C65-31629866D777}" name="94240" dataDxfId="239" totalsRowDxfId="104"/>
    <tableColumn id="24" xr3:uid="{A65DC615-18E3-4A05-8E91-FE653B3B2163}" name="64157" dataDxfId="238" totalsRowDxfId="103"/>
    <tableColumn id="25" xr3:uid="{34432AA1-40F5-469B-A2CA-E8383C15815A}" name="64156" dataDxfId="237" totalsRowDxfId="102"/>
    <tableColumn id="26" xr3:uid="{18980B30-5E88-4F53-93F0-1BAC69815C02}" name="64158" dataDxfId="236" totalsRowDxfId="101"/>
    <tableColumn id="27" xr3:uid="{1FE7F751-8C9D-4202-BD46-AFCFEB93C542}" name="96247" dataDxfId="235" totalsRowDxfId="100"/>
    <tableColumn id="28" xr3:uid="{3961AF46-F688-449F-B240-9A03CE48BA11}" name="58141" dataDxfId="234" totalsRowDxfId="99"/>
    <tableColumn id="29" xr3:uid="{A4DAA72D-B3F3-45A0-91AC-C2EC91AEC1E6}" name="45105" dataDxfId="233" totalsRowDxfId="98"/>
    <tableColumn id="30" xr3:uid="{8D0C58A7-1B8D-4984-8A33-E19CA2494E4F}" name="58143" dataDxfId="232" totalsRowDxfId="97"/>
    <tableColumn id="31" xr3:uid="{9E635D00-5AC2-4892-89F7-DFF24F7E75FE}" name="58142" dataDxfId="231" totalsRowDxfId="96"/>
    <tableColumn id="32" xr3:uid="{2EC2CE5C-6438-46F0-A3E4-9B75A2CDCCFF}" name="59143" dataDxfId="230" totalsRowDxfId="95"/>
    <tableColumn id="33" xr3:uid="{FABD5E0D-8455-4012-B91B-B61ECBA55C6A}" name="59141" dataDxfId="229" totalsRowDxfId="94"/>
    <tableColumn id="34" xr3:uid="{0355CA95-B0D4-4B0C-ACAD-5BCFF2AE5757}" name="94239" dataDxfId="228" totalsRowDxfId="93"/>
    <tableColumn id="35" xr3:uid="{A1A159D3-171C-4401-BB07-8FBDB6514A3E}" name="94238" dataDxfId="227" totalsRowDxfId="92"/>
    <tableColumn id="36" xr3:uid="{68776CFC-3682-4DAE-9A85-DED8D7B8BFA2}" name="94237" dataDxfId="226" totalsRowDxfId="91"/>
    <tableColumn id="37" xr3:uid="{2CE4D4B0-E39C-4454-84AB-068D5E7926F6}" name="94236" dataDxfId="225" totalsRowDxfId="90"/>
    <tableColumn id="38" xr3:uid="{C09F1525-7329-469D-9590-09F53466C1E5}" name="8016" dataDxfId="224" totalsRowDxfId="89"/>
    <tableColumn id="39" xr3:uid="{AC71F8E3-A938-4582-B1CC-12DCC68C91D9}" name="54134" dataDxfId="223" totalsRowDxfId="88"/>
    <tableColumn id="40" xr3:uid="{B4BEAE62-25FD-4935-AA4B-A20690F47875}" name="54135" dataDxfId="222" totalsRowDxfId="87"/>
    <tableColumn id="41" xr3:uid="{BB90E5F9-8C4D-4636-954D-1B18E970038E}" name="54136" dataDxfId="221" totalsRowDxfId="86"/>
    <tableColumn id="42" xr3:uid="{E2CBB42E-4679-464A-B21C-B1F09A2A610F}" name="54131" dataDxfId="220" totalsRowDxfId="85"/>
    <tableColumn id="43" xr3:uid="{1CA02E9A-2EA7-4235-B01B-1168668C58D9}" name="54132" dataDxfId="219" totalsRowDxfId="84"/>
    <tableColumn id="44" xr3:uid="{56C72162-23DB-46CF-8624-569AAFD47118}" name="93236" dataDxfId="218" totalsRowDxfId="83"/>
    <tableColumn id="45" xr3:uid="{0C59BB58-24D8-40D7-A5FA-8E6A42502014}" name="93237" dataDxfId="217" totalsRowDxfId="82"/>
    <tableColumn id="46" xr3:uid="{98D4700A-FFD4-461D-9E89-2BEE92FE0505}" name="55137" dataDxfId="216" totalsRowDxfId="81"/>
    <tableColumn id="47" xr3:uid="{4BA75DF2-AE4B-4D61-852C-5F198F2E05A2}" name="93238" dataDxfId="215" totalsRowDxfId="80"/>
    <tableColumn id="48" xr3:uid="{09905D74-CE43-4194-A358-F81A87F940AA}" name="55134" dataDxfId="214" totalsRowDxfId="79"/>
    <tableColumn id="49" xr3:uid="{4496710D-03ED-41AC-A623-613C8376D3FA}" name="55133" dataDxfId="213" totalsRowDxfId="78"/>
    <tableColumn id="50" xr3:uid="{3C09A875-93D4-4CAE-97A6-37AF2CF68DEE}" name="49115" dataDxfId="212" totalsRowDxfId="77"/>
    <tableColumn id="51" xr3:uid="{E2C58BED-17FD-4B06-9E3E-1A5D39E94943}" name="42100" dataDxfId="211" totalsRowDxfId="76"/>
    <tableColumn id="52" xr3:uid="{DF72A596-3CAA-4932-B2BF-355D47CF68A4}" name="90233" dataDxfId="210" totalsRowDxfId="75"/>
    <tableColumn id="53" xr3:uid="{729FE72A-3D4A-46E6-9967-6E991F1E5627}" name="90232" dataDxfId="209" totalsRowDxfId="74"/>
    <tableColumn id="54" xr3:uid="{2DFF1E59-148C-4A76-99F7-1F9A4E44D873}" name="56138" dataDxfId="208" totalsRowDxfId="73"/>
    <tableColumn id="55" xr3:uid="{4052927E-6C96-4F1F-83EC-A17BAAB70B5F}" name="45103" dataDxfId="207" totalsRowDxfId="72"/>
    <tableColumn id="56" xr3:uid="{EDBA0B4F-5A48-4892-BC35-A2E607B88E64}" name="96244" dataDxfId="206" totalsRowDxfId="71"/>
    <tableColumn id="57" xr3:uid="{18096073-98D5-4435-ADFB-0CDF9858B9F5}" name="96245" dataDxfId="205" totalsRowDxfId="70"/>
    <tableColumn id="58" xr3:uid="{88F1A26A-728B-4CE6-92C0-7E41209BA741}" name="96246" dataDxfId="204" totalsRowDxfId="69"/>
    <tableColumn id="59" xr3:uid="{F7596CC7-AEE8-4449-9846-C29524863947}" name="91233" dataDxfId="203" totalsRowDxfId="68"/>
    <tableColumn id="60" xr3:uid="{9B2CA3B8-02EE-4DD1-B63F-85214E2C9F6A}" name="46104" dataDxfId="202" totalsRowDxfId="67"/>
    <tableColumn id="61" xr3:uid="{21A973A5-2FDA-4D0C-805C-16D15C1D43A7}" name="96242" dataDxfId="201" totalsRowDxfId="66"/>
    <tableColumn id="62" xr3:uid="{A14541FF-C4F1-4871-818A-8AC10836B6E3}" name="96243" dataDxfId="200" totalsRowDxfId="65"/>
    <tableColumn id="63" xr3:uid="{2226A0BE-26AD-47A3-8B6F-F4231E1662F6}" name="96248" dataDxfId="199" totalsRowDxfId="64"/>
    <tableColumn id="64" xr3:uid="{75466FA1-A9CD-4AB1-B8D1-3390660C4863}" name="39091" dataDxfId="198" totalsRowDxfId="63"/>
    <tableColumn id="65" xr3:uid="{E02D5ADC-ADB0-4EB0-87B5-D2CF52DAAF34}" name="44104" dataDxfId="197" totalsRowDxfId="62"/>
    <tableColumn id="66" xr3:uid="{B59AC831-3B88-401F-BB67-FA019B84EBC4}" name="44105" dataDxfId="196" totalsRowDxfId="61"/>
    <tableColumn id="67" xr3:uid="{994BA9C7-87B4-489D-8956-6E3210BC2DB2}" name="44106" dataDxfId="195" totalsRowDxfId="60"/>
    <tableColumn id="68" xr3:uid="{550E478B-56EB-4991-99AE-9EDCAC4C21BB}" name="92239" dataDxfId="194" totalsRowDxfId="59"/>
    <tableColumn id="69" xr3:uid="{E34332BD-B526-4FAA-A71E-840C5F965EFD}" name="44101" dataDxfId="193" totalsRowDxfId="58"/>
    <tableColumn id="70" xr3:uid="{3239B0C5-F2AF-4C98-9DF1-2D582D9154D7}" name="44102" dataDxfId="192" totalsRowDxfId="57"/>
    <tableColumn id="71" xr3:uid="{DD23DDFB-6488-41EB-A832-5506383B8118}" name="44103" dataDxfId="191" totalsRowDxfId="56"/>
    <tableColumn id="72" xr3:uid="{090AAE04-556D-47A6-A16F-E2F33D3B7541}" name="92235" dataDxfId="190" totalsRowDxfId="55"/>
    <tableColumn id="73" xr3:uid="{182F7C7B-F3B9-493B-96F0-472677FDEB73}" name="92234" dataDxfId="189" totalsRowDxfId="54"/>
    <tableColumn id="74" xr3:uid="{32E7CBC9-6674-4A13-99C9-B4084A7153EC}" name="92237" dataDxfId="188" totalsRowDxfId="53"/>
    <tableColumn id="75" xr3:uid="{CE22669B-FC7F-4734-9915-120585F66F7D}" name="92236" dataDxfId="187" totalsRowDxfId="52"/>
    <tableColumn id="76" xr3:uid="{A547BE6B-AD38-4D89-8921-BA408876E29B}" name="63156" dataDxfId="186" totalsRowDxfId="51"/>
    <tableColumn id="77" xr3:uid="{C1D8C0F3-C763-4A5B-B0BB-5097C6203678}" name="92233" dataDxfId="185" totalsRowDxfId="50"/>
    <tableColumn id="78" xr3:uid="{F3AF3F15-85BE-46A9-B271-9D17D7929037}" name="60150" dataDxfId="184" totalsRowDxfId="49"/>
    <tableColumn id="79" xr3:uid="{0A42DD02-E13A-4112-9307-F6370AB8C13D}" name="37087" dataDxfId="183" totalsRowDxfId="48"/>
    <tableColumn id="80" xr3:uid="{68E64CA1-D374-44CE-AA39-2A3F031EC4F8}" name="37085" dataDxfId="182" totalsRowDxfId="47"/>
    <tableColumn id="81" xr3:uid="{0D2EA7DD-10DC-4721-BDB7-1BB796DA8007}" name="93239" dataDxfId="181" totalsRowDxfId="46"/>
    <tableColumn id="82" xr3:uid="{F951D580-8577-4EAC-8395-897441F5ED75}" name="38090" dataDxfId="180" totalsRowDxfId="45"/>
    <tableColumn id="83" xr3:uid="{9B18C6C3-E80B-4EC1-AE4C-7620CC97EECB}" name="46110" dataDxfId="179" totalsRowDxfId="44"/>
    <tableColumn id="84" xr3:uid="{57BA1E57-443E-408C-9636-0ACB1E7989B7}" name="60146" dataDxfId="178" totalsRowDxfId="43"/>
    <tableColumn id="85" xr3:uid="{E4FB7F77-05B1-4FB9-93F5-26A1A9C73FA7}" name="60147" dataDxfId="177" totalsRowDxfId="42"/>
    <tableColumn id="86" xr3:uid="{93CE7CA5-F4B2-44A9-A592-CEA61A4B5AF9}" name="95243" dataDxfId="176" totalsRowDxfId="41"/>
    <tableColumn id="87" xr3:uid="{B5F2BF9A-D094-4CF6-9A3E-F355BA9F6028}" name="60145" dataDxfId="175" totalsRowDxfId="40"/>
    <tableColumn id="88" xr3:uid="{F8EB256D-685A-415B-B264-6D8D4B68110E}" name="95244" dataDxfId="174" totalsRowDxfId="39"/>
    <tableColumn id="89" xr3:uid="{B4962434-6195-4193-9A3B-BA73E2B27158}" name="94244" dataDxfId="173" totalsRowDxfId="38"/>
    <tableColumn id="90" xr3:uid="{5F95193F-EC0B-4442-BC79-6D70D261F94B}" name="94242" dataDxfId="172" totalsRowDxfId="37"/>
    <tableColumn id="91" xr3:uid="{7C3F7E20-56D3-46B7-A18A-EE3FD72BDDDE}" name="94243" dataDxfId="171" totalsRowDxfId="36"/>
    <tableColumn id="92" xr3:uid="{2EC7906F-33A6-4D31-9BE2-59DA3B1FC2A0}" name="60148" dataDxfId="170" totalsRowDxfId="35"/>
    <tableColumn id="93" xr3:uid="{F2355CBE-28FB-4144-9436-3A82B502977C}" name="94241" dataDxfId="169" totalsRowDxfId="34"/>
    <tableColumn id="94" xr3:uid="{0DF5632B-F381-4606-980F-69621B1AF21F}" name="53127" dataDxfId="168" totalsRowDxfId="33"/>
    <tableColumn id="95" xr3:uid="{C829D8F7-3D4E-4DDC-BCFC-1B050D20B0FE}" name="61147" dataDxfId="167" totalsRowDxfId="32"/>
    <tableColumn id="96" xr3:uid="{109126CD-0583-4883-B30C-21D0332896E6}" name="61149" dataDxfId="166" totalsRowDxfId="31"/>
    <tableColumn id="97" xr3:uid="{40D4200B-3EEE-4D00-BD8D-8802D71EA06A}" name="61148" dataDxfId="165" totalsRowDxfId="30"/>
    <tableColumn id="98" xr3:uid="{613CB5A1-6618-4889-97EF-66B85D662C51}" name="53129" dataDxfId="164" totalsRowDxfId="29"/>
    <tableColumn id="99" xr3:uid="{9928D789-2BFA-46C2-9AA9-7A63445BCC11}" name="38088" dataDxfId="163" totalsRowDxfId="28"/>
    <tableColumn id="100" xr3:uid="{068313D3-E7EC-4264-B7B3-02661FC8E654}" name="38089" dataDxfId="162" totalsRowDxfId="27"/>
    <tableColumn id="101" xr3:uid="{8C89121D-FC3C-4CF1-AC20-1CB5FCB7911B}" name="56140" dataDxfId="161" totalsRowDxfId="26"/>
    <tableColumn id="102" xr3:uid="{6B67B3A3-494A-4ACF-993C-238342008C28}" name="43099" dataDxfId="160" totalsRowDxfId="25"/>
    <tableColumn id="103" xr3:uid="{C80C152D-0D3F-478E-8C88-C2FB9E162696}" name="35081" dataDxfId="159" totalsRowDxfId="24"/>
    <tableColumn id="104" xr3:uid="{D4B520A0-3694-453A-BDA0-E8DF4445EC86}" name="36083" dataDxfId="158" totalsRowDxfId="23"/>
    <tableColumn id="105" xr3:uid="{CF36EBF9-DABF-45CA-8D0D-2B7EE28CCD23}" name="36084" dataDxfId="157" totalsRowDxfId="22"/>
    <tableColumn id="106" xr3:uid="{7C4015A4-01D0-46A4-95A0-039155894CE4}" name="36086" dataDxfId="156" totalsRowDxfId="21"/>
    <tableColumn id="107" xr3:uid="{3354BE40-A991-4AB5-935D-7F3674DF2D94}" name="62149" dataDxfId="155" totalsRowDxfId="20"/>
    <tableColumn id="108" xr3:uid="{E63581FB-C30E-456F-BDE4-D10C84968160}" name="47109" dataDxfId="154" totalsRowDxfId="19"/>
    <tableColumn id="109" xr3:uid="{A7EBA381-083D-4A3D-B76D-D0B8CA55FC1D}" name="42095" dataDxfId="153" totalsRowDxfId="18"/>
    <tableColumn id="110" xr3:uid="{C46EBB1F-92B8-43A3-80C0-1720E8F1B84F}" name="42097" dataDxfId="152" totalsRowDxfId="17"/>
    <tableColumn id="111" xr3:uid="{FE6DAA74-3A48-4045-A555-5B9EB65805C6}" name="42098" dataDxfId="151" totalsRowDxfId="16"/>
    <tableColumn id="112" xr3:uid="{07116DAA-F977-427C-A19F-565F983F9F0F}" name="42099" dataDxfId="150" totalsRowDxfId="15"/>
    <tableColumn id="113" xr3:uid="{15D1DAB9-B8FE-4F1D-8575-83C057F9044A}" name="92238" dataDxfId="149" totalsRowDxfId="14"/>
    <tableColumn id="114" xr3:uid="{3BEB9198-302A-42C2-B968-ADB89D9125BE}" name="98250" dataDxfId="148" totalsRowDxfId="13"/>
    <tableColumn id="115" xr3:uid="{FAB171E1-42BD-4B4E-B41D-31FF446EA451}" name="62154" dataDxfId="147" totalsRowDxfId="12"/>
    <tableColumn id="116" xr3:uid="{62B60ABE-6DCA-481F-9D50-3BA5D1BA1199}" name="62153" dataDxfId="146" totalsRowDxfId="11"/>
    <tableColumn id="117" xr3:uid="{E3A1941F-D609-48A6-8200-25204531FB8C}" name="62152" dataDxfId="145" totalsRowDxfId="10"/>
    <tableColumn id="118" xr3:uid="{F401E82A-EDCA-4AFA-B056-0105A4967CD9}" name="62151" dataDxfId="144" totalsRowDxfId="9"/>
    <tableColumn id="119" xr3:uid="{C91B59FF-DB75-478A-94D3-A1D7565C15AF}" name="62150" dataDxfId="143" totalsRowDxfId="8"/>
    <tableColumn id="120" xr3:uid="{D2B468B9-B7BF-4AA0-ABF1-4480C1CA29FA}" name="39089" dataDxfId="142" totalsRowDxfId="7"/>
    <tableColumn id="121" xr3:uid="{A22B2217-FD1E-41EC-BD63-D2997657C576}" name="57139" dataDxfId="141" totalsRowDxfId="6"/>
    <tableColumn id="122" xr3:uid="{F70C8D46-A72F-4F1D-8F87-C200A34599E7}" name="95241" dataDxfId="140" totalsRowDxfId="5"/>
    <tableColumn id="123" xr3:uid="{9E0555A7-8326-4134-8E73-85105D68084F}" name="60144" dataDxfId="139" totalsRowDxfId="4"/>
    <tableColumn id="124" xr3:uid="{04CEBE6C-600E-44B3-A781-8AB0F09613CD}" name="97249" dataDxfId="138" totalsRowDxfId="3"/>
    <tableColumn id="125" xr3:uid="{64E1A7CC-8F5F-47B8-9588-6D94ABB018AB}" name="95242" dataDxfId="137" totalsRowDxfId="2"/>
    <tableColumn id="126" xr3:uid="{EFD95248-3BE6-41C2-86FE-B793FD23B041}" name="55135" dataDxfId="136" totalsRowDxfId="1"/>
    <tableColumn id="127" xr3:uid="{3C9B2983-53BD-4A54-BF80-94ECDB3997DB}" name="60143" dataDxfId="135" totalsRowDxfId="0"/>
    <tableColumn id="128" xr3:uid="{8ED4AB44-B1CD-47F6-BE9B-CF58190EFC1B}" name="TOT" dataDxfId="134">
      <calculatedColumnFormula>SUM(Table3[[#This Row],[mat]:[60143]])</calculatedColumnFormula>
    </tableColumn>
    <tableColumn id="129" xr3:uid="{8F6C59FF-3AF9-428C-85AB-BF4930282470}" name="fract1" dataDxfId="133">
      <calculatedColumnFormula>Table3[[#This Row],[92235]]/Table3[[#This Row],[TOT]]</calculatedColumnFormula>
    </tableColumn>
    <tableColumn id="133" xr3:uid="{A7290886-468D-4B22-AD2B-6C240E6952D1}" name="fract2" dataDxfId="132">
      <calculatedColumnFormula>Table3[[#This Row],[92238]]/Table3[[#This Row],[TOT]]</calculatedColumnFormula>
    </tableColumn>
    <tableColumn id="134" xr3:uid="{77B8C63D-08EE-46D5-8459-BF2D07C183FD}" name="enrich" dataDxfId="131">
      <calculatedColumnFormula>Table3[[#This Row],[fract1]]/(Table3[[#This Row],[fract1]]+Table3[[#This Row],[fract2]])</calculatedColumnFormula>
    </tableColumn>
    <tableColumn id="136" xr3:uid="{1E9BEB71-E785-4616-9624-C739B7294D7C}" name="at cons" dataDxfId="130">
      <calculatedColumnFormula>($EI$2-Table3[[#This Row],[92235]])</calculatedColumnFormula>
    </tableColumn>
    <tableColumn id="137" xr3:uid="{4EE2634E-C39B-4D15-A507-103D38E26E67}" name="Efis (MJ)" dataDxfId="129">
      <calculatedColumnFormula>Table3[[#This Row],[at cons]]*200*1.6E-19*6.022E+23</calculatedColumnFormula>
    </tableColumn>
    <tableColumn id="138" xr3:uid="{CED42033-53BC-4E54-A62B-CFE620B8402F}" name="Efis (MWj)" dataDxfId="128">
      <calculatedColumnFormula>Table3[[#This Row],[Efis (MJ)]]/3600/24</calculatedColumnFormula>
    </tableColumn>
    <tableColumn id="139" xr3:uid="{F4E6DEA7-B027-4A54-A98B-2ACC00615E30}" name="BU (MWj/t_HM)" dataDxfId="127">
      <calculatedColumnFormula>Table3[[#This Row],[Efis (MWj)]]/$EM$1</calculatedColumnFormula>
    </tableColumn>
    <tableColumn id="140" xr3:uid="{A7CFFD6A-DFB6-4C01-9967-D32962E86CDD}" name="BU (GWj/t_HM)" dataDxfId="126">
      <calculatedColumnFormula>Table3[[#This Row],[Efis (MWj)]]/$EM$1/1000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1474-5655-41EF-8DD6-AA50BBA6E67D}">
  <dimension ref="A1:R126"/>
  <sheetViews>
    <sheetView workbookViewId="0">
      <selection activeCell="T7" sqref="T7"/>
    </sheetView>
  </sheetViews>
  <sheetFormatPr defaultRowHeight="14.4" x14ac:dyDescent="0.55000000000000004"/>
  <cols>
    <col min="1" max="1" width="9.41796875" customWidth="1"/>
    <col min="2" max="2" width="14.05078125" customWidth="1"/>
  </cols>
  <sheetData>
    <row r="1" spans="1:18" x14ac:dyDescent="0.55000000000000004">
      <c r="A1" t="s">
        <v>10</v>
      </c>
      <c r="B1" t="s">
        <v>12</v>
      </c>
      <c r="C1" t="s">
        <v>13</v>
      </c>
      <c r="D1" t="s">
        <v>14</v>
      </c>
      <c r="O1" t="s">
        <v>15</v>
      </c>
      <c r="P1" s="1">
        <v>5.191947E-16</v>
      </c>
      <c r="R1" s="1">
        <f>SUM(P:P)</f>
        <v>8.3722896840387681E-3</v>
      </c>
    </row>
    <row r="2" spans="1:18" x14ac:dyDescent="0.55000000000000004">
      <c r="A2" t="s">
        <v>4</v>
      </c>
      <c r="B2" s="1">
        <v>3.3944340000000001E-4</v>
      </c>
      <c r="C2" s="1">
        <v>2.1510359999999998E-3</v>
      </c>
      <c r="D2" s="1">
        <f>SUM(Table1[[#This Row],[U235]:[U238]])</f>
        <v>2.4904794E-3</v>
      </c>
      <c r="O2" t="s">
        <v>16</v>
      </c>
      <c r="P2" s="1">
        <v>1.571101E-9</v>
      </c>
    </row>
    <row r="3" spans="1:18" x14ac:dyDescent="0.55000000000000004">
      <c r="A3" t="s">
        <v>3</v>
      </c>
      <c r="B3" s="1">
        <v>4.8218780000000003E-4</v>
      </c>
      <c r="C3" s="1">
        <v>2.007787E-3</v>
      </c>
      <c r="D3" s="1">
        <f>SUM(Table1[[#This Row],[U235]:[U238]])</f>
        <v>2.4899748000000001E-3</v>
      </c>
      <c r="O3" t="s">
        <v>17</v>
      </c>
      <c r="P3" s="1">
        <v>3.8699870000000001E-7</v>
      </c>
    </row>
    <row r="4" spans="1:18" x14ac:dyDescent="0.55000000000000004">
      <c r="A4" t="s">
        <v>6</v>
      </c>
      <c r="B4" s="1">
        <v>2.4784740000000002E-4</v>
      </c>
      <c r="C4" s="1">
        <v>2.0193170000000001E-3</v>
      </c>
      <c r="D4" s="1">
        <f>SUM(Table1[[#This Row],[U235]:[U238]])</f>
        <v>2.2671644E-3</v>
      </c>
      <c r="O4" t="s">
        <v>18</v>
      </c>
      <c r="P4" s="1">
        <v>5.4383510000000004E-7</v>
      </c>
    </row>
    <row r="5" spans="1:18" x14ac:dyDescent="0.55000000000000004">
      <c r="A5" t="s">
        <v>5</v>
      </c>
      <c r="B5" s="1">
        <v>1.842673E-4</v>
      </c>
      <c r="C5" s="1">
        <v>1.973477E-3</v>
      </c>
      <c r="D5" s="1">
        <f>SUM(Table1[[#This Row],[U235]:[U238]])</f>
        <v>2.1577443000000002E-3</v>
      </c>
      <c r="O5" t="s">
        <v>19</v>
      </c>
      <c r="P5" s="1">
        <v>2.5072880000000001E-7</v>
      </c>
    </row>
    <row r="6" spans="1:18" x14ac:dyDescent="0.55000000000000004">
      <c r="A6" t="s">
        <v>2</v>
      </c>
      <c r="B6" s="1">
        <v>2.2770310000000001E-4</v>
      </c>
      <c r="C6" s="1">
        <v>1.9220649999999999E-3</v>
      </c>
      <c r="D6" s="1">
        <f>SUM(Table1[[#This Row],[U235]:[U238]])</f>
        <v>2.1497680999999999E-3</v>
      </c>
      <c r="O6" t="s">
        <v>20</v>
      </c>
      <c r="P6" s="1">
        <v>4.0139150000000001E-7</v>
      </c>
    </row>
    <row r="7" spans="1:18" x14ac:dyDescent="0.55000000000000004">
      <c r="A7" t="s">
        <v>8</v>
      </c>
      <c r="B7" s="1">
        <v>1.7973159999999999E-4</v>
      </c>
      <c r="C7" s="1">
        <v>1.9057799999999999E-3</v>
      </c>
      <c r="D7" s="1">
        <f>SUM(Table1[[#This Row],[U235]:[U238]])</f>
        <v>2.0855115999999997E-3</v>
      </c>
      <c r="O7" t="s">
        <v>21</v>
      </c>
      <c r="P7" s="1">
        <v>1.8890219999999999E-5</v>
      </c>
    </row>
    <row r="8" spans="1:18" x14ac:dyDescent="0.55000000000000004">
      <c r="A8" t="s">
        <v>7</v>
      </c>
      <c r="B8" s="1">
        <v>1.564572E-4</v>
      </c>
      <c r="C8" s="1">
        <v>1.916E-3</v>
      </c>
      <c r="D8" s="1">
        <f>SUM(Table1[[#This Row],[U235]:[U238]])</f>
        <v>2.0724571999999998E-3</v>
      </c>
      <c r="O8" t="s">
        <v>22</v>
      </c>
      <c r="P8" s="1">
        <v>1.9636999999999999E-5</v>
      </c>
    </row>
    <row r="9" spans="1:18" x14ac:dyDescent="0.55000000000000004">
      <c r="A9" t="s">
        <v>9</v>
      </c>
      <c r="B9" s="1">
        <v>1.3385259999999999E-4</v>
      </c>
      <c r="C9" s="1">
        <v>1.871015E-3</v>
      </c>
      <c r="D9" s="1">
        <f>SUM(Table1[[#This Row],[U235]:[U238]])</f>
        <v>2.0048675999999998E-3</v>
      </c>
      <c r="O9" t="s">
        <v>23</v>
      </c>
      <c r="P9" s="1">
        <v>1.3848929999999999E-5</v>
      </c>
    </row>
    <row r="10" spans="1:18" x14ac:dyDescent="0.55000000000000004">
      <c r="O10" t="s">
        <v>24</v>
      </c>
      <c r="P10" s="1">
        <v>2.051792E-5</v>
      </c>
    </row>
    <row r="11" spans="1:18" x14ac:dyDescent="0.55000000000000004">
      <c r="O11" t="s">
        <v>25</v>
      </c>
      <c r="P11" s="1">
        <v>1.9819780000000002E-5</v>
      </c>
    </row>
    <row r="12" spans="1:18" x14ac:dyDescent="0.55000000000000004">
      <c r="O12" t="s">
        <v>26</v>
      </c>
      <c r="P12" s="1">
        <v>4.5541210000000001E-6</v>
      </c>
    </row>
    <row r="13" spans="1:18" x14ac:dyDescent="0.55000000000000004">
      <c r="O13" t="s">
        <v>27</v>
      </c>
      <c r="P13" s="1">
        <v>3.2993630000000002E-6</v>
      </c>
    </row>
    <row r="14" spans="1:18" x14ac:dyDescent="0.55000000000000004">
      <c r="O14" t="s">
        <v>28</v>
      </c>
      <c r="P14" s="1">
        <v>3.7334640000000002E-6</v>
      </c>
    </row>
    <row r="15" spans="1:18" x14ac:dyDescent="0.55000000000000004">
      <c r="O15" t="s">
        <v>29</v>
      </c>
      <c r="P15" s="1">
        <v>1.346194E-3</v>
      </c>
    </row>
    <row r="16" spans="1:18" x14ac:dyDescent="0.55000000000000004">
      <c r="O16" t="s">
        <v>30</v>
      </c>
      <c r="P16" s="1">
        <v>5.7269159999999998E-6</v>
      </c>
    </row>
    <row r="17" spans="15:16" x14ac:dyDescent="0.55000000000000004">
      <c r="O17" t="s">
        <v>31</v>
      </c>
      <c r="P17" s="1">
        <v>2.851903E-7</v>
      </c>
    </row>
    <row r="18" spans="15:16" x14ac:dyDescent="0.55000000000000004">
      <c r="O18" t="s">
        <v>32</v>
      </c>
      <c r="P18" s="1">
        <v>9.9013249999999995E-8</v>
      </c>
    </row>
    <row r="19" spans="15:16" x14ac:dyDescent="0.55000000000000004">
      <c r="O19" t="s">
        <v>33</v>
      </c>
      <c r="P19" s="1">
        <v>2.5756349999999999E-6</v>
      </c>
    </row>
    <row r="20" spans="15:16" x14ac:dyDescent="0.55000000000000004">
      <c r="O20" t="s">
        <v>34</v>
      </c>
      <c r="P20" s="1">
        <v>1.703596E-6</v>
      </c>
    </row>
    <row r="21" spans="15:16" x14ac:dyDescent="0.55000000000000004">
      <c r="O21" t="s">
        <v>35</v>
      </c>
      <c r="P21" s="1">
        <v>7.0842629999999996E-10</v>
      </c>
    </row>
    <row r="22" spans="15:16" x14ac:dyDescent="0.55000000000000004">
      <c r="O22" t="s">
        <v>36</v>
      </c>
      <c r="P22" s="1">
        <v>1.052018E-5</v>
      </c>
    </row>
    <row r="23" spans="15:16" x14ac:dyDescent="0.55000000000000004">
      <c r="O23" t="s">
        <v>37</v>
      </c>
      <c r="P23" s="1">
        <v>1.725065E-9</v>
      </c>
    </row>
    <row r="24" spans="15:16" x14ac:dyDescent="0.55000000000000004">
      <c r="O24" t="s">
        <v>38</v>
      </c>
      <c r="P24" s="1">
        <v>9.3236750000000001E-7</v>
      </c>
    </row>
    <row r="25" spans="15:16" x14ac:dyDescent="0.55000000000000004">
      <c r="O25" t="s">
        <v>39</v>
      </c>
      <c r="P25" s="1">
        <v>2.7512139999999999E-7</v>
      </c>
    </row>
    <row r="26" spans="15:16" x14ac:dyDescent="0.55000000000000004">
      <c r="O26" t="s">
        <v>40</v>
      </c>
      <c r="P26" s="1">
        <v>1.5130439999999999E-11</v>
      </c>
    </row>
    <row r="27" spans="15:16" x14ac:dyDescent="0.55000000000000004">
      <c r="O27" t="s">
        <v>41</v>
      </c>
      <c r="P27" s="1">
        <v>2.0026009999999999E-6</v>
      </c>
    </row>
    <row r="28" spans="15:16" x14ac:dyDescent="0.55000000000000004">
      <c r="O28" t="s">
        <v>42</v>
      </c>
      <c r="P28" s="1">
        <v>3.6597590000000003E-8</v>
      </c>
    </row>
    <row r="29" spans="15:16" x14ac:dyDescent="0.55000000000000004">
      <c r="O29" t="s">
        <v>43</v>
      </c>
      <c r="P29" s="1">
        <v>8.3426649999999997E-8</v>
      </c>
    </row>
    <row r="30" spans="15:16" x14ac:dyDescent="0.55000000000000004">
      <c r="O30" t="s">
        <v>44</v>
      </c>
      <c r="P30" s="1">
        <v>1.9920900000000001E-5</v>
      </c>
    </row>
    <row r="31" spans="15:16" x14ac:dyDescent="0.55000000000000004">
      <c r="O31" t="s">
        <v>45</v>
      </c>
      <c r="P31" s="1">
        <v>6.9917169999999995E-7</v>
      </c>
    </row>
    <row r="32" spans="15:16" x14ac:dyDescent="0.55000000000000004">
      <c r="O32" t="s">
        <v>46</v>
      </c>
      <c r="P32" s="1">
        <v>1.7146860000000001E-5</v>
      </c>
    </row>
    <row r="33" spans="15:16" x14ac:dyDescent="0.55000000000000004">
      <c r="O33" t="s">
        <v>47</v>
      </c>
      <c r="P33" s="1">
        <v>2.2221759999999998E-5</v>
      </c>
    </row>
    <row r="34" spans="15:16" x14ac:dyDescent="0.55000000000000004">
      <c r="O34" t="s">
        <v>48</v>
      </c>
      <c r="P34" s="1">
        <v>1.4740490000000001E-6</v>
      </c>
    </row>
    <row r="35" spans="15:16" x14ac:dyDescent="0.55000000000000004">
      <c r="O35" t="s">
        <v>49</v>
      </c>
      <c r="P35" s="1">
        <v>4.8631539999999996E-13</v>
      </c>
    </row>
    <row r="36" spans="15:16" x14ac:dyDescent="0.55000000000000004">
      <c r="O36" t="s">
        <v>50</v>
      </c>
      <c r="P36" s="1">
        <v>1.6749210000000001E-12</v>
      </c>
    </row>
    <row r="37" spans="15:16" x14ac:dyDescent="0.55000000000000004">
      <c r="O37" t="s">
        <v>51</v>
      </c>
      <c r="P37" s="1">
        <v>4.0385739999999996E-3</v>
      </c>
    </row>
    <row r="38" spans="15:16" x14ac:dyDescent="0.55000000000000004">
      <c r="O38" t="s">
        <v>52</v>
      </c>
      <c r="P38" s="1">
        <v>2.6643800000000001E-5</v>
      </c>
    </row>
    <row r="39" spans="15:16" x14ac:dyDescent="0.55000000000000004">
      <c r="O39" t="s">
        <v>53</v>
      </c>
      <c r="P39" s="1">
        <v>4.2669090000000002E-9</v>
      </c>
    </row>
    <row r="40" spans="15:16" x14ac:dyDescent="0.55000000000000004">
      <c r="O40" t="s">
        <v>54</v>
      </c>
      <c r="P40" s="1">
        <v>4.4054590000000003E-5</v>
      </c>
    </row>
    <row r="41" spans="15:16" x14ac:dyDescent="0.55000000000000004">
      <c r="O41" t="s">
        <v>55</v>
      </c>
      <c r="P41" s="1">
        <v>7.2474530000000003E-6</v>
      </c>
    </row>
    <row r="42" spans="15:16" x14ac:dyDescent="0.55000000000000004">
      <c r="O42" t="s">
        <v>56</v>
      </c>
      <c r="P42" s="1">
        <v>1.8805350000000001E-5</v>
      </c>
    </row>
    <row r="43" spans="15:16" x14ac:dyDescent="0.55000000000000004">
      <c r="O43" t="s">
        <v>57</v>
      </c>
      <c r="P43" s="1">
        <v>4.8506909999999996E-13</v>
      </c>
    </row>
    <row r="44" spans="15:16" x14ac:dyDescent="0.55000000000000004">
      <c r="O44" t="s">
        <v>58</v>
      </c>
      <c r="P44" s="1">
        <v>4.8972100000000002E-6</v>
      </c>
    </row>
    <row r="45" spans="15:16" x14ac:dyDescent="0.55000000000000004">
      <c r="O45" t="s">
        <v>59</v>
      </c>
      <c r="P45" s="1">
        <v>2.1298140000000001E-5</v>
      </c>
    </row>
    <row r="46" spans="15:16" x14ac:dyDescent="0.55000000000000004">
      <c r="O46" t="s">
        <v>60</v>
      </c>
      <c r="P46" s="1">
        <v>2.9153589999999999E-8</v>
      </c>
    </row>
    <row r="47" spans="15:16" x14ac:dyDescent="0.55000000000000004">
      <c r="O47" t="s">
        <v>61</v>
      </c>
      <c r="P47" s="1">
        <v>2.7884380000000001E-6</v>
      </c>
    </row>
    <row r="48" spans="15:16" x14ac:dyDescent="0.55000000000000004">
      <c r="O48" t="s">
        <v>62</v>
      </c>
      <c r="P48" s="1">
        <v>1.9394140000000001E-5</v>
      </c>
    </row>
    <row r="49" spans="15:16" x14ac:dyDescent="0.55000000000000004">
      <c r="O49" t="s">
        <v>63</v>
      </c>
      <c r="P49" s="1">
        <v>3.3491300000000002E-8</v>
      </c>
    </row>
    <row r="50" spans="15:16" x14ac:dyDescent="0.55000000000000004">
      <c r="O50" t="s">
        <v>64</v>
      </c>
      <c r="P50" s="1">
        <v>2.217858E-5</v>
      </c>
    </row>
    <row r="51" spans="15:16" x14ac:dyDescent="0.55000000000000004">
      <c r="O51" t="s">
        <v>65</v>
      </c>
      <c r="P51" s="1">
        <v>2.983092E-18</v>
      </c>
    </row>
    <row r="52" spans="15:16" x14ac:dyDescent="0.55000000000000004">
      <c r="O52" t="s">
        <v>66</v>
      </c>
      <c r="P52" s="1">
        <v>8.5600889999999998E-13</v>
      </c>
    </row>
    <row r="53" spans="15:16" x14ac:dyDescent="0.55000000000000004">
      <c r="O53" t="s">
        <v>67</v>
      </c>
      <c r="P53" s="1">
        <v>2.3034569999999999E-5</v>
      </c>
    </row>
    <row r="54" spans="15:16" x14ac:dyDescent="0.55000000000000004">
      <c r="O54" t="s">
        <v>68</v>
      </c>
      <c r="P54" s="1">
        <v>8.3716619999999992E-6</v>
      </c>
    </row>
    <row r="55" spans="15:16" x14ac:dyDescent="0.55000000000000004">
      <c r="O55" t="s">
        <v>69</v>
      </c>
      <c r="P55" s="1">
        <v>3.3085729999999999E-7</v>
      </c>
    </row>
    <row r="56" spans="15:16" x14ac:dyDescent="0.55000000000000004">
      <c r="O56" t="s">
        <v>70</v>
      </c>
      <c r="P56" s="1">
        <v>1.968125E-8</v>
      </c>
    </row>
    <row r="57" spans="15:16" x14ac:dyDescent="0.55000000000000004">
      <c r="O57" t="s">
        <v>71</v>
      </c>
      <c r="P57" s="1">
        <v>1.648442E-9</v>
      </c>
    </row>
    <row r="58" spans="15:16" x14ac:dyDescent="0.55000000000000004">
      <c r="O58" t="s">
        <v>72</v>
      </c>
      <c r="P58" s="1">
        <v>1.4590550000000001E-13</v>
      </c>
    </row>
    <row r="59" spans="15:16" x14ac:dyDescent="0.55000000000000004">
      <c r="O59" t="s">
        <v>73</v>
      </c>
      <c r="P59" s="1">
        <v>3.7487650000000001E-6</v>
      </c>
    </row>
    <row r="60" spans="15:16" x14ac:dyDescent="0.55000000000000004">
      <c r="O60" t="s">
        <v>74</v>
      </c>
      <c r="P60" s="1">
        <v>5.5815549999999997E-8</v>
      </c>
    </row>
    <row r="61" spans="15:16" x14ac:dyDescent="0.55000000000000004">
      <c r="O61" t="s">
        <v>75</v>
      </c>
      <c r="P61" s="1">
        <v>1.1435379999999999E-9</v>
      </c>
    </row>
    <row r="62" spans="15:16" x14ac:dyDescent="0.55000000000000004">
      <c r="O62" t="s">
        <v>76</v>
      </c>
      <c r="P62" s="1">
        <v>9.0344050000000002E-13</v>
      </c>
    </row>
    <row r="63" spans="15:16" x14ac:dyDescent="0.55000000000000004">
      <c r="O63" t="s">
        <v>77</v>
      </c>
      <c r="P63" s="1">
        <v>3.2771719999999998E-6</v>
      </c>
    </row>
    <row r="64" spans="15:16" x14ac:dyDescent="0.55000000000000004">
      <c r="O64" t="s">
        <v>78</v>
      </c>
      <c r="P64" s="1">
        <v>1.063824E-5</v>
      </c>
    </row>
    <row r="65" spans="15:16" x14ac:dyDescent="0.55000000000000004">
      <c r="O65" t="s">
        <v>79</v>
      </c>
      <c r="P65" s="1">
        <v>5.877212E-9</v>
      </c>
    </row>
    <row r="66" spans="15:16" x14ac:dyDescent="0.55000000000000004">
      <c r="O66" t="s">
        <v>80</v>
      </c>
      <c r="P66" s="1">
        <v>4.1683499999999997E-6</v>
      </c>
    </row>
    <row r="67" spans="15:16" x14ac:dyDescent="0.55000000000000004">
      <c r="O67" t="s">
        <v>81</v>
      </c>
      <c r="P67" s="1">
        <v>7.5035270000000003E-9</v>
      </c>
    </row>
    <row r="68" spans="15:16" x14ac:dyDescent="0.55000000000000004">
      <c r="O68" t="s">
        <v>82</v>
      </c>
      <c r="P68" s="1">
        <v>1.7641600000000001E-5</v>
      </c>
    </row>
    <row r="69" spans="15:16" x14ac:dyDescent="0.55000000000000004">
      <c r="O69" t="s">
        <v>83</v>
      </c>
      <c r="P69" s="1">
        <v>1.735676E-5</v>
      </c>
    </row>
    <row r="70" spans="15:16" x14ac:dyDescent="0.55000000000000004">
      <c r="O70" t="s">
        <v>84</v>
      </c>
      <c r="P70" s="1">
        <v>2.1123149999999999E-6</v>
      </c>
    </row>
    <row r="71" spans="15:16" x14ac:dyDescent="0.55000000000000004">
      <c r="O71" t="s">
        <v>0</v>
      </c>
      <c r="P71" s="1">
        <v>2.2770310000000001E-4</v>
      </c>
    </row>
    <row r="72" spans="15:16" x14ac:dyDescent="0.55000000000000004">
      <c r="O72" t="s">
        <v>85</v>
      </c>
      <c r="P72" s="1">
        <v>5.2801109999999998E-9</v>
      </c>
    </row>
    <row r="73" spans="15:16" x14ac:dyDescent="0.55000000000000004">
      <c r="O73" t="s">
        <v>86</v>
      </c>
      <c r="P73" s="1">
        <v>1.9759429999999999E-7</v>
      </c>
    </row>
    <row r="74" spans="15:16" x14ac:dyDescent="0.55000000000000004">
      <c r="O74" t="s">
        <v>87</v>
      </c>
      <c r="P74" s="1">
        <v>5.391673E-5</v>
      </c>
    </row>
    <row r="75" spans="15:16" x14ac:dyDescent="0.55000000000000004">
      <c r="O75" t="s">
        <v>88</v>
      </c>
      <c r="P75" s="1">
        <v>1.143708E-7</v>
      </c>
    </row>
    <row r="76" spans="15:16" x14ac:dyDescent="0.55000000000000004">
      <c r="O76" t="s">
        <v>89</v>
      </c>
      <c r="P76" s="1">
        <v>1.1510399999999999E-12</v>
      </c>
    </row>
    <row r="77" spans="15:16" x14ac:dyDescent="0.55000000000000004">
      <c r="O77" t="s">
        <v>90</v>
      </c>
      <c r="P77" s="1">
        <v>2.5895470000000002E-6</v>
      </c>
    </row>
    <row r="78" spans="15:16" x14ac:dyDescent="0.55000000000000004">
      <c r="O78" t="s">
        <v>91</v>
      </c>
      <c r="P78" s="1">
        <v>7.373278E-6</v>
      </c>
    </row>
    <row r="79" spans="15:16" x14ac:dyDescent="0.55000000000000004">
      <c r="O79" t="s">
        <v>92</v>
      </c>
      <c r="P79" s="1">
        <v>2.9407489999999999E-6</v>
      </c>
    </row>
    <row r="80" spans="15:16" x14ac:dyDescent="0.55000000000000004">
      <c r="O80" t="s">
        <v>93</v>
      </c>
      <c r="P80" s="1">
        <v>9.8183229999999992E-7</v>
      </c>
    </row>
    <row r="81" spans="15:16" x14ac:dyDescent="0.55000000000000004">
      <c r="O81" t="s">
        <v>94</v>
      </c>
      <c r="P81" s="1">
        <v>1.6135849999999999E-5</v>
      </c>
    </row>
    <row r="82" spans="15:16" x14ac:dyDescent="0.55000000000000004">
      <c r="O82" t="s">
        <v>95</v>
      </c>
      <c r="P82" s="1">
        <v>7.8046630000000002E-7</v>
      </c>
    </row>
    <row r="83" spans="15:16" x14ac:dyDescent="0.55000000000000004">
      <c r="O83" t="s">
        <v>96</v>
      </c>
      <c r="P83" s="1">
        <v>1.1800489999999999E-5</v>
      </c>
    </row>
    <row r="84" spans="15:16" x14ac:dyDescent="0.55000000000000004">
      <c r="O84" t="s">
        <v>97</v>
      </c>
      <c r="P84" s="1">
        <v>2.326088E-7</v>
      </c>
    </row>
    <row r="85" spans="15:16" x14ac:dyDescent="0.55000000000000004">
      <c r="O85" t="s">
        <v>98</v>
      </c>
      <c r="P85" s="1">
        <v>1.0870389999999999E-6</v>
      </c>
    </row>
    <row r="86" spans="15:16" x14ac:dyDescent="0.55000000000000004">
      <c r="O86" t="s">
        <v>99</v>
      </c>
      <c r="P86" s="1">
        <v>1.116892E-5</v>
      </c>
    </row>
    <row r="87" spans="15:16" x14ac:dyDescent="0.55000000000000004">
      <c r="O87" t="s">
        <v>100</v>
      </c>
      <c r="P87" s="1">
        <v>9.0451049999999994E-11</v>
      </c>
    </row>
    <row r="88" spans="15:16" x14ac:dyDescent="0.55000000000000004">
      <c r="O88" t="s">
        <v>101</v>
      </c>
      <c r="P88" s="1">
        <v>6.8336899999999998E-10</v>
      </c>
    </row>
    <row r="89" spans="15:16" x14ac:dyDescent="0.55000000000000004">
      <c r="O89" t="s">
        <v>102</v>
      </c>
      <c r="P89" s="1">
        <v>5.5587060000000004E-6</v>
      </c>
    </row>
    <row r="90" spans="15:16" x14ac:dyDescent="0.55000000000000004">
      <c r="O90" t="s">
        <v>103</v>
      </c>
      <c r="P90" s="1">
        <v>2.6948580000000001E-9</v>
      </c>
    </row>
    <row r="91" spans="15:16" x14ac:dyDescent="0.55000000000000004">
      <c r="O91" t="s">
        <v>104</v>
      </c>
      <c r="P91" s="1">
        <v>6.2720500000000004E-6</v>
      </c>
    </row>
    <row r="92" spans="15:16" x14ac:dyDescent="0.55000000000000004">
      <c r="O92" t="s">
        <v>105</v>
      </c>
      <c r="P92" s="1">
        <v>9.9234689999999993E-6</v>
      </c>
    </row>
    <row r="93" spans="15:16" x14ac:dyDescent="0.55000000000000004">
      <c r="O93" t="s">
        <v>106</v>
      </c>
      <c r="P93" s="1">
        <v>7.2879169999999998E-7</v>
      </c>
    </row>
    <row r="94" spans="15:16" x14ac:dyDescent="0.55000000000000004">
      <c r="O94" t="s">
        <v>107</v>
      </c>
      <c r="P94" s="1">
        <v>3.187231E-6</v>
      </c>
    </row>
    <row r="95" spans="15:16" x14ac:dyDescent="0.55000000000000004">
      <c r="O95" t="s">
        <v>108</v>
      </c>
      <c r="P95" s="1">
        <v>3.882299E-8</v>
      </c>
    </row>
    <row r="96" spans="15:16" x14ac:dyDescent="0.55000000000000004">
      <c r="O96" t="s">
        <v>109</v>
      </c>
      <c r="P96" s="1">
        <v>4.3974159999999999E-8</v>
      </c>
    </row>
    <row r="97" spans="15:16" x14ac:dyDescent="0.55000000000000004">
      <c r="O97" t="s">
        <v>110</v>
      </c>
      <c r="P97" s="1">
        <v>3.0446699999999999E-6</v>
      </c>
    </row>
    <row r="98" spans="15:16" x14ac:dyDescent="0.55000000000000004">
      <c r="O98" t="s">
        <v>111</v>
      </c>
      <c r="P98" s="1">
        <v>1.065424E-5</v>
      </c>
    </row>
    <row r="99" spans="15:16" x14ac:dyDescent="0.55000000000000004">
      <c r="O99" t="s">
        <v>112</v>
      </c>
      <c r="P99" s="1">
        <v>2.1543310000000001E-6</v>
      </c>
    </row>
    <row r="100" spans="15:16" x14ac:dyDescent="0.55000000000000004">
      <c r="O100" t="s">
        <v>113</v>
      </c>
      <c r="P100" s="1">
        <v>7.5690669999999996E-7</v>
      </c>
    </row>
    <row r="101" spans="15:16" x14ac:dyDescent="0.55000000000000004">
      <c r="O101" t="s">
        <v>114</v>
      </c>
      <c r="P101" s="1">
        <v>1.7986440000000001E-5</v>
      </c>
    </row>
    <row r="102" spans="15:16" x14ac:dyDescent="0.55000000000000004">
      <c r="O102" t="s">
        <v>115</v>
      </c>
      <c r="P102" s="1">
        <v>6.5864379999999999E-7</v>
      </c>
    </row>
    <row r="103" spans="15:16" x14ac:dyDescent="0.55000000000000004">
      <c r="O103" t="s">
        <v>116</v>
      </c>
      <c r="P103" s="1">
        <v>1.2790749999999999E-6</v>
      </c>
    </row>
    <row r="104" spans="15:16" x14ac:dyDescent="0.55000000000000004">
      <c r="O104" t="s">
        <v>117</v>
      </c>
      <c r="P104" s="1">
        <v>3.426289E-6</v>
      </c>
    </row>
    <row r="105" spans="15:16" x14ac:dyDescent="0.55000000000000004">
      <c r="O105" t="s">
        <v>118</v>
      </c>
      <c r="P105" s="1">
        <v>5.7926490000000001E-6</v>
      </c>
    </row>
    <row r="106" spans="15:16" x14ac:dyDescent="0.55000000000000004">
      <c r="O106" t="s">
        <v>119</v>
      </c>
      <c r="P106" s="1">
        <v>3.8802159999999997E-8</v>
      </c>
    </row>
    <row r="107" spans="15:16" x14ac:dyDescent="0.55000000000000004">
      <c r="O107" t="s">
        <v>120</v>
      </c>
      <c r="P107" s="1">
        <v>1.2585300000000001E-6</v>
      </c>
    </row>
    <row r="108" spans="15:16" x14ac:dyDescent="0.55000000000000004">
      <c r="O108" t="s">
        <v>121</v>
      </c>
      <c r="P108" s="1">
        <v>1.2669639999999999E-5</v>
      </c>
    </row>
    <row r="109" spans="15:16" x14ac:dyDescent="0.55000000000000004">
      <c r="O109" t="s">
        <v>122</v>
      </c>
      <c r="P109" s="1">
        <v>2.0092060000000001E-5</v>
      </c>
    </row>
    <row r="110" spans="15:16" x14ac:dyDescent="0.55000000000000004">
      <c r="O110" t="s">
        <v>123</v>
      </c>
      <c r="P110" s="1">
        <v>2.0256970000000001E-5</v>
      </c>
    </row>
    <row r="111" spans="15:16" x14ac:dyDescent="0.55000000000000004">
      <c r="O111" t="s">
        <v>124</v>
      </c>
      <c r="P111" s="1">
        <v>1.768679E-7</v>
      </c>
    </row>
    <row r="112" spans="15:16" x14ac:dyDescent="0.55000000000000004">
      <c r="O112" t="s">
        <v>11</v>
      </c>
      <c r="P112" s="1">
        <v>2.007787E-3</v>
      </c>
    </row>
    <row r="113" spans="15:16" x14ac:dyDescent="0.55000000000000004">
      <c r="O113" t="s">
        <v>125</v>
      </c>
      <c r="P113" s="1">
        <v>4.8384770000000002E-15</v>
      </c>
    </row>
    <row r="114" spans="15:16" x14ac:dyDescent="0.55000000000000004">
      <c r="O114" t="s">
        <v>126</v>
      </c>
      <c r="P114" s="1">
        <v>5.8363600000000005E-7</v>
      </c>
    </row>
    <row r="115" spans="15:16" x14ac:dyDescent="0.55000000000000004">
      <c r="O115" t="s">
        <v>127</v>
      </c>
      <c r="P115" s="1">
        <v>2.4495499999999999E-8</v>
      </c>
    </row>
    <row r="116" spans="15:16" x14ac:dyDescent="0.55000000000000004">
      <c r="O116" t="s">
        <v>128</v>
      </c>
      <c r="P116" s="1">
        <v>1.557558E-6</v>
      </c>
    </row>
    <row r="117" spans="15:16" x14ac:dyDescent="0.55000000000000004">
      <c r="O117" t="s">
        <v>129</v>
      </c>
      <c r="P117" s="1">
        <v>2.036277E-7</v>
      </c>
    </row>
    <row r="118" spans="15:16" x14ac:dyDescent="0.55000000000000004">
      <c r="O118" t="s">
        <v>130</v>
      </c>
      <c r="P118" s="1">
        <v>4.5013859999999998E-6</v>
      </c>
    </row>
    <row r="119" spans="15:16" x14ac:dyDescent="0.55000000000000004">
      <c r="O119" t="s">
        <v>131</v>
      </c>
      <c r="P119" s="1">
        <v>1.144641E-5</v>
      </c>
    </row>
    <row r="120" spans="15:16" x14ac:dyDescent="0.55000000000000004">
      <c r="O120" t="s">
        <v>132</v>
      </c>
      <c r="P120" s="1">
        <v>2.1428879999999999E-5</v>
      </c>
    </row>
    <row r="121" spans="15:16" x14ac:dyDescent="0.55000000000000004">
      <c r="O121" t="s">
        <v>133</v>
      </c>
      <c r="P121" s="1">
        <v>1.028919E-7</v>
      </c>
    </row>
    <row r="122" spans="15:16" x14ac:dyDescent="0.55000000000000004">
      <c r="O122" t="s">
        <v>134</v>
      </c>
      <c r="P122" s="1">
        <v>1.0924800000000001E-5</v>
      </c>
    </row>
    <row r="123" spans="15:16" x14ac:dyDescent="0.55000000000000004">
      <c r="O123" t="s">
        <v>135</v>
      </c>
      <c r="P123" s="1">
        <v>6.9195410000000002E-15</v>
      </c>
    </row>
    <row r="124" spans="15:16" x14ac:dyDescent="0.55000000000000004">
      <c r="O124" t="s">
        <v>136</v>
      </c>
      <c r="P124" s="1">
        <v>2.8986940000000001E-9</v>
      </c>
    </row>
    <row r="125" spans="15:16" x14ac:dyDescent="0.55000000000000004">
      <c r="O125" t="s">
        <v>137</v>
      </c>
      <c r="P125" s="1">
        <v>2.9087000000000002E-6</v>
      </c>
    </row>
    <row r="126" spans="15:16" x14ac:dyDescent="0.55000000000000004">
      <c r="O126" t="s">
        <v>138</v>
      </c>
      <c r="P126" s="1">
        <v>1.3281179999999999E-5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204E-0D72-44F5-AA31-8365CE650026}">
  <dimension ref="A1:EM127"/>
  <sheetViews>
    <sheetView tabSelected="1" topLeftCell="DV1" workbookViewId="0">
      <selection activeCell="EM1" sqref="EM1"/>
    </sheetView>
  </sheetViews>
  <sheetFormatPr defaultRowHeight="14.4" x14ac:dyDescent="0.55000000000000004"/>
  <cols>
    <col min="1" max="1" width="6.1015625" bestFit="1" customWidth="1"/>
    <col min="2" max="15" width="7.9453125" bestFit="1" customWidth="1"/>
    <col min="16" max="16" width="7.734375" bestFit="1" customWidth="1"/>
    <col min="17" max="37" width="7.9453125" bestFit="1" customWidth="1"/>
    <col min="38" max="38" width="7.734375" bestFit="1" customWidth="1"/>
    <col min="39" max="127" width="7.9453125" bestFit="1" customWidth="1"/>
    <col min="128" max="130" width="7.734375" bestFit="1" customWidth="1"/>
    <col min="131" max="131" width="8.05078125" bestFit="1" customWidth="1"/>
    <col min="132" max="132" width="8.62890625" bestFit="1" customWidth="1"/>
    <col min="133" max="133" width="9.62890625" bestFit="1" customWidth="1"/>
    <col min="134" max="134" width="11.20703125" bestFit="1" customWidth="1"/>
    <col min="135" max="135" width="16.3125" bestFit="1" customWidth="1"/>
    <col min="136" max="136" width="17.3125" bestFit="1" customWidth="1"/>
  </cols>
  <sheetData>
    <row r="1" spans="1:143" x14ac:dyDescent="0.55000000000000004">
      <c r="A1" t="s">
        <v>1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181</v>
      </c>
      <c r="AR1" t="s">
        <v>182</v>
      </c>
      <c r="AS1" t="s">
        <v>183</v>
      </c>
      <c r="AT1" t="s">
        <v>184</v>
      </c>
      <c r="AU1" t="s">
        <v>185</v>
      </c>
      <c r="AV1" t="s">
        <v>186</v>
      </c>
      <c r="AW1" t="s">
        <v>187</v>
      </c>
      <c r="AX1" t="s">
        <v>188</v>
      </c>
      <c r="AY1" t="s">
        <v>189</v>
      </c>
      <c r="AZ1" t="s">
        <v>190</v>
      </c>
      <c r="BA1" t="s">
        <v>191</v>
      </c>
      <c r="BB1" t="s">
        <v>192</v>
      </c>
      <c r="BC1" t="s">
        <v>193</v>
      </c>
      <c r="BD1" t="s">
        <v>194</v>
      </c>
      <c r="BE1" t="s">
        <v>195</v>
      </c>
      <c r="BF1" t="s">
        <v>196</v>
      </c>
      <c r="BG1" t="s">
        <v>197</v>
      </c>
      <c r="BH1" t="s">
        <v>198</v>
      </c>
      <c r="BI1" t="s">
        <v>199</v>
      </c>
      <c r="BJ1" t="s">
        <v>200</v>
      </c>
      <c r="BK1" t="s">
        <v>201</v>
      </c>
      <c r="BL1" t="s">
        <v>202</v>
      </c>
      <c r="BM1" t="s">
        <v>203</v>
      </c>
      <c r="BN1" t="s">
        <v>204</v>
      </c>
      <c r="BO1" t="s">
        <v>205</v>
      </c>
      <c r="BP1" t="s">
        <v>206</v>
      </c>
      <c r="BQ1" t="s">
        <v>207</v>
      </c>
      <c r="BR1" t="s">
        <v>208</v>
      </c>
      <c r="BS1" t="s">
        <v>209</v>
      </c>
      <c r="BT1" t="s">
        <v>210</v>
      </c>
      <c r="BU1" t="s">
        <v>211</v>
      </c>
      <c r="BV1" t="s">
        <v>212</v>
      </c>
      <c r="BW1" t="s">
        <v>213</v>
      </c>
      <c r="BX1" t="s">
        <v>214</v>
      </c>
      <c r="BY1" t="s">
        <v>215</v>
      </c>
      <c r="BZ1" t="s">
        <v>216</v>
      </c>
      <c r="CA1" t="s">
        <v>217</v>
      </c>
      <c r="CB1" t="s">
        <v>218</v>
      </c>
      <c r="CC1" t="s">
        <v>219</v>
      </c>
      <c r="CD1" t="s">
        <v>220</v>
      </c>
      <c r="CE1" t="s">
        <v>221</v>
      </c>
      <c r="CF1" t="s">
        <v>222</v>
      </c>
      <c r="CG1" t="s">
        <v>223</v>
      </c>
      <c r="CH1" t="s">
        <v>224</v>
      </c>
      <c r="CI1" t="s">
        <v>225</v>
      </c>
      <c r="CJ1" t="s">
        <v>226</v>
      </c>
      <c r="CK1" t="s">
        <v>227</v>
      </c>
      <c r="CL1" t="s">
        <v>228</v>
      </c>
      <c r="CM1" t="s">
        <v>229</v>
      </c>
      <c r="CN1" t="s">
        <v>230</v>
      </c>
      <c r="CO1" t="s">
        <v>231</v>
      </c>
      <c r="CP1" t="s">
        <v>232</v>
      </c>
      <c r="CQ1" t="s">
        <v>233</v>
      </c>
      <c r="CR1" t="s">
        <v>234</v>
      </c>
      <c r="CS1" t="s">
        <v>235</v>
      </c>
      <c r="CT1" t="s">
        <v>236</v>
      </c>
      <c r="CU1" t="s">
        <v>237</v>
      </c>
      <c r="CV1" t="s">
        <v>238</v>
      </c>
      <c r="CW1" t="s">
        <v>239</v>
      </c>
      <c r="CX1" t="s">
        <v>240</v>
      </c>
      <c r="CY1" t="s">
        <v>241</v>
      </c>
      <c r="CZ1" t="s">
        <v>242</v>
      </c>
      <c r="DA1" t="s">
        <v>243</v>
      </c>
      <c r="DB1" t="s">
        <v>244</v>
      </c>
      <c r="DC1" t="s">
        <v>245</v>
      </c>
      <c r="DD1" t="s">
        <v>246</v>
      </c>
      <c r="DE1" t="s">
        <v>247</v>
      </c>
      <c r="DF1" t="s">
        <v>248</v>
      </c>
      <c r="DG1" t="s">
        <v>249</v>
      </c>
      <c r="DH1" t="s">
        <v>250</v>
      </c>
      <c r="DI1" t="s">
        <v>251</v>
      </c>
      <c r="DJ1" t="s">
        <v>252</v>
      </c>
      <c r="DK1" t="s">
        <v>253</v>
      </c>
      <c r="DL1" t="s">
        <v>254</v>
      </c>
      <c r="DM1" t="s">
        <v>255</v>
      </c>
      <c r="DN1" t="s">
        <v>256</v>
      </c>
      <c r="DO1" t="s">
        <v>257</v>
      </c>
      <c r="DP1" t="s">
        <v>258</v>
      </c>
      <c r="DQ1" t="s">
        <v>259</v>
      </c>
      <c r="DR1" t="s">
        <v>260</v>
      </c>
      <c r="DS1" t="s">
        <v>261</v>
      </c>
      <c r="DT1" t="s">
        <v>262</v>
      </c>
      <c r="DU1" t="s">
        <v>263</v>
      </c>
      <c r="DV1" t="s">
        <v>264</v>
      </c>
      <c r="DW1" t="s">
        <v>265</v>
      </c>
      <c r="DX1" t="s">
        <v>139</v>
      </c>
      <c r="DY1" t="s">
        <v>266</v>
      </c>
      <c r="DZ1" t="s">
        <v>267</v>
      </c>
      <c r="EA1" t="s">
        <v>268</v>
      </c>
      <c r="EB1" t="s">
        <v>271</v>
      </c>
      <c r="EC1" t="s">
        <v>272</v>
      </c>
      <c r="ED1" t="s">
        <v>273</v>
      </c>
      <c r="EE1" t="s">
        <v>274</v>
      </c>
      <c r="EF1" t="s">
        <v>276</v>
      </c>
      <c r="EH1" t="s">
        <v>269</v>
      </c>
      <c r="EI1" s="1">
        <v>8.2000000000000007E-3</v>
      </c>
      <c r="EJ1" s="1"/>
      <c r="EL1" t="s">
        <v>275</v>
      </c>
      <c r="EM1" s="1">
        <f>EI1*0.000238</f>
        <v>1.9516000000000001E-6</v>
      </c>
    </row>
    <row r="2" spans="1:143" x14ac:dyDescent="0.55000000000000004">
      <c r="A2" t="s">
        <v>3</v>
      </c>
      <c r="B2" s="1">
        <v>3.759234E-23</v>
      </c>
      <c r="C2" s="1">
        <v>1.0124479999999999E-9</v>
      </c>
      <c r="D2" s="1">
        <v>1.8343709999999999E-8</v>
      </c>
      <c r="E2" s="1">
        <v>5.436325E-9</v>
      </c>
      <c r="F2" s="1">
        <v>2.3562859999999999E-8</v>
      </c>
      <c r="G2" s="1">
        <v>1.0166490000000001E-8</v>
      </c>
      <c r="H2" s="1">
        <v>3.5763899999999999E-6</v>
      </c>
      <c r="I2" s="1">
        <v>3.395302E-6</v>
      </c>
      <c r="J2" s="1">
        <v>7.1935779999999996E-7</v>
      </c>
      <c r="K2" s="1">
        <v>3.4062760000000001E-6</v>
      </c>
      <c r="L2" s="1">
        <v>3.3593429999999999E-6</v>
      </c>
      <c r="M2" s="1">
        <v>2.7000910000000002E-6</v>
      </c>
      <c r="N2" s="1">
        <v>1.77881E-7</v>
      </c>
      <c r="O2" s="1">
        <v>2.176868E-7</v>
      </c>
      <c r="P2" s="1">
        <v>1.3561210000000001E-3</v>
      </c>
      <c r="Q2" s="1">
        <v>5.3269549999999998E-7</v>
      </c>
      <c r="R2" s="1">
        <v>9.2587169999999995E-9</v>
      </c>
      <c r="S2" s="1">
        <v>9.0725760000000001E-9</v>
      </c>
      <c r="T2" s="1">
        <v>1.3043040000000001E-7</v>
      </c>
      <c r="U2" s="1">
        <v>1.219636E-7</v>
      </c>
      <c r="V2" s="1">
        <v>2.0675509999999999E-11</v>
      </c>
      <c r="W2" s="1">
        <v>1.5219519999999999E-6</v>
      </c>
      <c r="X2" s="1">
        <v>4.8299339999999995E-10</v>
      </c>
      <c r="Y2" s="1">
        <v>1.6597430000000001E-8</v>
      </c>
      <c r="Z2" s="1">
        <v>1.193056E-8</v>
      </c>
      <c r="AA2" s="1">
        <v>5.0030690000000002E-17</v>
      </c>
      <c r="AB2" s="1">
        <v>2.0093119999999999E-6</v>
      </c>
      <c r="AC2" s="1">
        <v>3.1853920000000003E-8</v>
      </c>
      <c r="AD2" s="1">
        <v>1.5751669999999999E-7</v>
      </c>
      <c r="AE2" s="1">
        <v>3.221385E-6</v>
      </c>
      <c r="AF2" s="1">
        <v>1.1964239999999999E-6</v>
      </c>
      <c r="AG2" s="1">
        <v>1.1572130000000001E-6</v>
      </c>
      <c r="AH2" s="1">
        <v>9.0267620000000008E-6</v>
      </c>
      <c r="AI2" s="1">
        <v>7.8658409999999997E-9</v>
      </c>
      <c r="AJ2" s="1">
        <v>3.3767070000000001E-15</v>
      </c>
      <c r="AK2" s="1">
        <v>1.1273820000000001E-14</v>
      </c>
      <c r="AL2" s="1">
        <v>4.0683569999999999E-3</v>
      </c>
      <c r="AM2" s="1">
        <v>4.2259560000000003E-6</v>
      </c>
      <c r="AN2" s="1">
        <v>6.4771859999999996E-9</v>
      </c>
      <c r="AO2" s="1">
        <v>6.832177E-6</v>
      </c>
      <c r="AP2" s="1">
        <v>1.1123830000000001E-6</v>
      </c>
      <c r="AQ2" s="1">
        <v>2.1967760000000001E-6</v>
      </c>
      <c r="AR2" s="1">
        <v>6.9919529999999998E-15</v>
      </c>
      <c r="AS2" s="1">
        <v>1.581419E-7</v>
      </c>
      <c r="AT2" s="1">
        <v>3.3625870000000001E-6</v>
      </c>
      <c r="AU2" s="1">
        <v>9.8452140000000006E-10</v>
      </c>
      <c r="AV2" s="1">
        <v>6.8967809999999998E-8</v>
      </c>
      <c r="AW2" s="1">
        <v>2.8262210000000001E-6</v>
      </c>
      <c r="AX2" s="1">
        <v>7.1987220000000004E-9</v>
      </c>
      <c r="AY2" s="1">
        <v>3.475263E-6</v>
      </c>
      <c r="AZ2" s="1">
        <v>7.5612819999999998E-20</v>
      </c>
      <c r="BA2" s="1">
        <v>2.3220709999999999E-14</v>
      </c>
      <c r="BB2" s="1">
        <v>3.75828E-6</v>
      </c>
      <c r="BC2" s="1">
        <v>5.5123719999999996E-7</v>
      </c>
      <c r="BD2" s="1">
        <v>8.8752739999999996E-11</v>
      </c>
      <c r="BE2" s="1">
        <v>1.532747E-12</v>
      </c>
      <c r="BF2" s="1">
        <v>2.093655E-14</v>
      </c>
      <c r="BG2" s="1">
        <v>1.7840050000000001E-15</v>
      </c>
      <c r="BH2" s="1">
        <v>3.6300000000000001E-8</v>
      </c>
      <c r="BI2" s="1">
        <v>9.7181349999999998E-11</v>
      </c>
      <c r="BJ2" s="1">
        <v>4.0476689999999998E-13</v>
      </c>
      <c r="BK2" s="1">
        <v>6.4835140000000001E-19</v>
      </c>
      <c r="BL2" s="1">
        <v>2.3563409999999999E-6</v>
      </c>
      <c r="BM2" s="1">
        <v>1.193751E-6</v>
      </c>
      <c r="BN2" s="1">
        <v>4.7702849999999997E-9</v>
      </c>
      <c r="BO2" s="1">
        <v>3.5867259999999998E-7</v>
      </c>
      <c r="BP2" s="1">
        <v>8.1904080000000002E-9</v>
      </c>
      <c r="BQ2" s="1">
        <v>2.810654E-6</v>
      </c>
      <c r="BR2" s="1">
        <v>2.4211949999999999E-6</v>
      </c>
      <c r="BS2" s="1">
        <v>1.275389E-6</v>
      </c>
      <c r="BT2" s="1">
        <v>4.8218780000000003E-4</v>
      </c>
      <c r="BU2" s="1">
        <v>5.7715499999999996E-10</v>
      </c>
      <c r="BV2" s="1">
        <v>5.9693230000000004E-8</v>
      </c>
      <c r="BW2" s="1">
        <v>1.1665940000000001E-5</v>
      </c>
      <c r="BX2" s="1">
        <v>1.430665E-8</v>
      </c>
      <c r="BY2" s="1">
        <v>2.5623459999999999E-13</v>
      </c>
      <c r="BZ2" s="1">
        <v>3.6953159999999998E-7</v>
      </c>
      <c r="CA2" s="1">
        <v>1.351679E-6</v>
      </c>
      <c r="CB2" s="1">
        <v>5.2738240000000003E-7</v>
      </c>
      <c r="CC2" s="1">
        <v>1.212167E-6</v>
      </c>
      <c r="CD2" s="1">
        <v>3.0031449999999999E-6</v>
      </c>
      <c r="CE2" s="1">
        <v>4.093902E-8</v>
      </c>
      <c r="CF2" s="1">
        <v>1.716799E-6</v>
      </c>
      <c r="CG2" s="1">
        <v>4.0067959999999999E-7</v>
      </c>
      <c r="CH2" s="1">
        <v>1.5679790000000001E-9</v>
      </c>
      <c r="CI2" s="1">
        <v>2.0498369999999998E-6</v>
      </c>
      <c r="CJ2" s="1">
        <v>9.2808049999999995E-14</v>
      </c>
      <c r="CK2" s="1">
        <v>7.0223490000000003E-13</v>
      </c>
      <c r="CL2" s="1">
        <v>4.0323080000000002E-8</v>
      </c>
      <c r="CM2" s="1">
        <v>1.517508E-11</v>
      </c>
      <c r="CN2" s="1">
        <v>9.7932809999999996E-7</v>
      </c>
      <c r="CO2" s="1">
        <v>5.192377E-7</v>
      </c>
      <c r="CP2" s="1">
        <v>7.5011020000000002E-8</v>
      </c>
      <c r="CQ2" s="1">
        <v>6.950976E-7</v>
      </c>
      <c r="CR2" s="1">
        <v>4.9052960000000003E-8</v>
      </c>
      <c r="CS2" s="1">
        <v>1.244148E-8</v>
      </c>
      <c r="CT2" s="1">
        <v>3.945276E-7</v>
      </c>
      <c r="CU2" s="1">
        <v>1.9462079999999999E-6</v>
      </c>
      <c r="CV2" s="1">
        <v>1.8479060000000001E-6</v>
      </c>
      <c r="CW2" s="1">
        <v>1.2671999999999999E-6</v>
      </c>
      <c r="CX2" s="1">
        <v>2.8780109999999999E-6</v>
      </c>
      <c r="CY2" s="1">
        <v>1.148011E-7</v>
      </c>
      <c r="CZ2" s="1">
        <v>2.7789299999999999E-7</v>
      </c>
      <c r="DA2" s="1">
        <v>5.5862410000000001E-7</v>
      </c>
      <c r="DB2" s="1">
        <v>1.0587220000000001E-6</v>
      </c>
      <c r="DC2" s="1">
        <v>3.7227960000000001E-8</v>
      </c>
      <c r="DD2" s="1">
        <v>7.1690890000000001E-8</v>
      </c>
      <c r="DE2" s="1">
        <v>2.0722349999999999E-7</v>
      </c>
      <c r="DF2" s="1">
        <v>3.191345E-6</v>
      </c>
      <c r="DG2" s="1">
        <v>3.2108830000000002E-6</v>
      </c>
      <c r="DH2" s="1">
        <v>3.2264960000000003E-7</v>
      </c>
      <c r="DI2" s="1">
        <v>2.1510359999999998E-3</v>
      </c>
      <c r="DJ2" s="1">
        <v>5.1890270000000003E-22</v>
      </c>
      <c r="DK2" s="1">
        <v>5.4895229999999997E-8</v>
      </c>
      <c r="DL2" s="1">
        <v>1.0896130000000001E-8</v>
      </c>
      <c r="DM2" s="1">
        <v>2.656872E-7</v>
      </c>
      <c r="DN2" s="1">
        <v>9.6165399999999996E-8</v>
      </c>
      <c r="DO2" s="1">
        <v>5.3392859999999997E-7</v>
      </c>
      <c r="DP2" s="1">
        <v>6.6870110000000002E-7</v>
      </c>
      <c r="DQ2" s="1">
        <v>3.5049870000000002E-6</v>
      </c>
      <c r="DR2" s="1">
        <v>9.8987559999999994E-10</v>
      </c>
      <c r="DS2" s="1">
        <v>2.7911039999999998E-7</v>
      </c>
      <c r="DT2" s="1">
        <v>2.5142800000000002E-21</v>
      </c>
      <c r="DU2" s="1">
        <v>1.768985E-11</v>
      </c>
      <c r="DV2" s="1">
        <v>3.8463849999999999E-7</v>
      </c>
      <c r="DW2" s="1">
        <v>1.718235E-6</v>
      </c>
      <c r="DX2" s="1">
        <f>SUM(Table3[[#This Row],[mat]:[60143]])</f>
        <v>8.1832114055933585E-3</v>
      </c>
      <c r="DY2" s="1">
        <f>Table3[[#This Row],[92235]]/Table3[[#This Row],[TOT]]</f>
        <v>5.8924030689273994E-2</v>
      </c>
      <c r="DZ2" s="1">
        <f>Table3[[#This Row],[92238]]/Table3[[#This Row],[TOT]]</f>
        <v>0.2628596394967545</v>
      </c>
      <c r="EA2" s="1">
        <f>Table3[[#This Row],[fract1]]/(Table3[[#This Row],[fract1]]+Table3[[#This Row],[fract2]])</f>
        <v>0.18311690787543392</v>
      </c>
      <c r="EB2" s="1">
        <f>($EI$2-Table3[[#This Row],[92235]])</f>
        <v>6.1745533333333374E-5</v>
      </c>
      <c r="EC2" s="1">
        <f>Table3[[#This Row],[at cons]]*200*1.6E-19*6.022E+23</f>
        <v>1189.8611255466676</v>
      </c>
      <c r="ED2" s="1">
        <f>Table3[[#This Row],[Efis (MJ)]]/3600/24</f>
        <v>1.3771540804938281E-2</v>
      </c>
      <c r="EE2" s="1">
        <f>Table3[[#This Row],[Efis (MWj)]]/$EM$1</f>
        <v>7056.5386374965574</v>
      </c>
      <c r="EF2" s="2">
        <f>Table3[[#This Row],[Efis (MWj)]]/$EM$1/1000</f>
        <v>7.0565386374965575</v>
      </c>
      <c r="EH2" t="s">
        <v>270</v>
      </c>
      <c r="EI2" s="1">
        <f>0.199*EI1*1/3</f>
        <v>5.439333333333334E-4</v>
      </c>
      <c r="EK2" s="1"/>
    </row>
    <row r="3" spans="1:143" x14ac:dyDescent="0.55000000000000004">
      <c r="A3" t="s">
        <v>4</v>
      </c>
      <c r="B3" s="1">
        <v>5.1158450000000002E-20</v>
      </c>
      <c r="C3" s="1">
        <v>1.546628E-9</v>
      </c>
      <c r="D3" s="1">
        <v>9.4834169999999995E-8</v>
      </c>
      <c r="E3" s="1">
        <v>4.942421E-8</v>
      </c>
      <c r="F3" s="1">
        <v>8.6830209999999998E-8</v>
      </c>
      <c r="G3" s="1">
        <v>8.059755E-8</v>
      </c>
      <c r="H3" s="1">
        <v>1.00021E-5</v>
      </c>
      <c r="I3" s="1">
        <v>1.031473E-5</v>
      </c>
      <c r="J3" s="1">
        <v>4.0341890000000002E-6</v>
      </c>
      <c r="K3" s="1">
        <v>1.0384290000000001E-5</v>
      </c>
      <c r="L3" s="1">
        <v>1.017691E-5</v>
      </c>
      <c r="M3" s="1">
        <v>6.194802E-6</v>
      </c>
      <c r="N3" s="1">
        <v>7.6885639999999998E-7</v>
      </c>
      <c r="O3" s="1">
        <v>1.000752E-6</v>
      </c>
      <c r="P3" s="1">
        <v>1.2997390000000001E-3</v>
      </c>
      <c r="Q3" s="1">
        <v>2.0332810000000002E-6</v>
      </c>
      <c r="R3" s="1">
        <v>5.7857820000000003E-8</v>
      </c>
      <c r="S3" s="1">
        <v>2.7977720000000001E-8</v>
      </c>
      <c r="T3" s="1">
        <v>6.4142429999999996E-7</v>
      </c>
      <c r="U3" s="1">
        <v>5.2557330000000002E-7</v>
      </c>
      <c r="V3" s="1">
        <v>8.9164549999999995E-11</v>
      </c>
      <c r="W3" s="1">
        <v>6.7195840000000004E-6</v>
      </c>
      <c r="X3" s="1">
        <v>1.026246E-9</v>
      </c>
      <c r="Y3" s="1">
        <v>1.115822E-7</v>
      </c>
      <c r="Z3" s="1">
        <v>5.6824099999999999E-8</v>
      </c>
      <c r="AA3" s="1">
        <v>1.493124E-14</v>
      </c>
      <c r="AB3" s="1">
        <v>3.806996E-6</v>
      </c>
      <c r="AC3" s="1">
        <v>3.9509900000000002E-8</v>
      </c>
      <c r="AD3" s="1">
        <v>1.2499119999999999E-7</v>
      </c>
      <c r="AE3" s="1">
        <v>9.9161389999999998E-6</v>
      </c>
      <c r="AF3" s="1">
        <v>1.6584719999999999E-6</v>
      </c>
      <c r="AG3" s="1">
        <v>5.8880750000000004E-6</v>
      </c>
      <c r="AH3" s="1">
        <v>2.4039399999999999E-5</v>
      </c>
      <c r="AI3" s="1">
        <v>1.054405E-7</v>
      </c>
      <c r="AJ3" s="1">
        <v>4.0290589999999999E-14</v>
      </c>
      <c r="AK3" s="1">
        <v>1.425325E-13</v>
      </c>
      <c r="AL3" s="1">
        <v>3.8992100000000002E-3</v>
      </c>
      <c r="AM3" s="1">
        <v>1.305912E-5</v>
      </c>
      <c r="AN3" s="1">
        <v>5.6043079999999998E-9</v>
      </c>
      <c r="AO3" s="1">
        <v>2.1264570000000001E-5</v>
      </c>
      <c r="AP3" s="1">
        <v>4.0862309999999997E-6</v>
      </c>
      <c r="AQ3" s="1">
        <v>7.7627960000000003E-6</v>
      </c>
      <c r="AR3" s="1">
        <v>7.1325830000000004E-14</v>
      </c>
      <c r="AS3" s="1">
        <v>1.067556E-6</v>
      </c>
      <c r="AT3" s="1">
        <v>1.0403809999999999E-5</v>
      </c>
      <c r="AU3" s="1">
        <v>6.7196519999999999E-9</v>
      </c>
      <c r="AV3" s="1">
        <v>4.7111009999999998E-7</v>
      </c>
      <c r="AW3" s="1">
        <v>1.007888E-5</v>
      </c>
      <c r="AX3" s="1">
        <v>2.2559740000000001E-8</v>
      </c>
      <c r="AY3" s="1">
        <v>1.077791E-5</v>
      </c>
      <c r="AZ3" s="1">
        <v>5.0655620000000003E-19</v>
      </c>
      <c r="BA3" s="1">
        <v>1.538288E-13</v>
      </c>
      <c r="BB3" s="1">
        <v>1.1474800000000001E-5</v>
      </c>
      <c r="BC3" s="1">
        <v>2.9297359999999998E-6</v>
      </c>
      <c r="BD3" s="1">
        <v>4.1446030000000001E-9</v>
      </c>
      <c r="BE3" s="1">
        <v>1.228702E-10</v>
      </c>
      <c r="BF3" s="1">
        <v>3.3741209999999999E-12</v>
      </c>
      <c r="BG3" s="1">
        <v>1.9814810000000001E-14</v>
      </c>
      <c r="BH3" s="1">
        <v>3.6541399999999999E-7</v>
      </c>
      <c r="BI3" s="1">
        <v>2.782232E-9</v>
      </c>
      <c r="BJ3" s="1">
        <v>2.2139179999999999E-11</v>
      </c>
      <c r="BK3" s="1">
        <v>3.6705470000000001E-16</v>
      </c>
      <c r="BL3" s="1">
        <v>5.2134559999999998E-6</v>
      </c>
      <c r="BM3" s="1">
        <v>4.1320779999999996E-6</v>
      </c>
      <c r="BN3" s="1">
        <v>5.7923310000000003E-9</v>
      </c>
      <c r="BO3" s="1">
        <v>1.447827E-6</v>
      </c>
      <c r="BP3" s="1">
        <v>7.4398899999999996E-9</v>
      </c>
      <c r="BQ3" s="1">
        <v>8.7014219999999996E-6</v>
      </c>
      <c r="BR3" s="1">
        <v>7.7365249999999996E-6</v>
      </c>
      <c r="BS3" s="1">
        <v>2.8304640000000001E-6</v>
      </c>
      <c r="BT3" s="1">
        <v>3.3944340000000001E-4</v>
      </c>
      <c r="BU3" s="1">
        <v>1.8293319999999999E-9</v>
      </c>
      <c r="BV3" s="1">
        <v>1.627473E-7</v>
      </c>
      <c r="BW3" s="1">
        <v>3.417639E-5</v>
      </c>
      <c r="BX3" s="1">
        <v>4.2995109999999998E-8</v>
      </c>
      <c r="BY3" s="1">
        <v>8.1363660000000001E-13</v>
      </c>
      <c r="BZ3" s="1">
        <v>1.1770990000000001E-6</v>
      </c>
      <c r="CA3" s="1">
        <v>4.0096749999999999E-6</v>
      </c>
      <c r="CB3" s="1">
        <v>1.577901E-6</v>
      </c>
      <c r="CC3" s="1">
        <v>1.159213E-6</v>
      </c>
      <c r="CD3" s="1">
        <v>8.8726349999999995E-6</v>
      </c>
      <c r="CE3" s="1">
        <v>1.948805E-7</v>
      </c>
      <c r="CF3" s="1">
        <v>5.3617109999999999E-6</v>
      </c>
      <c r="CG3" s="1">
        <v>4.8872080000000004E-7</v>
      </c>
      <c r="CH3" s="1">
        <v>3.874506E-8</v>
      </c>
      <c r="CI3" s="1">
        <v>6.1530079999999996E-6</v>
      </c>
      <c r="CJ3" s="1">
        <v>2.7242380000000002E-12</v>
      </c>
      <c r="CK3" s="1">
        <v>1.785058E-11</v>
      </c>
      <c r="CL3" s="1">
        <v>5.4717720000000001E-7</v>
      </c>
      <c r="CM3" s="1">
        <v>2.4554379999999998E-10</v>
      </c>
      <c r="CN3" s="1">
        <v>3.0553479999999998E-6</v>
      </c>
      <c r="CO3" s="1">
        <v>3.507396E-6</v>
      </c>
      <c r="CP3" s="1">
        <v>2.888229E-7</v>
      </c>
      <c r="CQ3" s="1">
        <v>2.4448639999999999E-6</v>
      </c>
      <c r="CR3" s="1">
        <v>4.9678939999999998E-8</v>
      </c>
      <c r="CS3" s="1">
        <v>4.0176210000000003E-8</v>
      </c>
      <c r="CT3" s="1">
        <v>1.333206E-6</v>
      </c>
      <c r="CU3" s="1">
        <v>5.8006619999999996E-6</v>
      </c>
      <c r="CV3" s="1">
        <v>3.8473849999999996E-6</v>
      </c>
      <c r="CW3" s="1">
        <v>1.6508609999999999E-6</v>
      </c>
      <c r="CX3" s="1">
        <v>9.4452730000000003E-6</v>
      </c>
      <c r="CY3" s="1">
        <v>3.4686919999999999E-7</v>
      </c>
      <c r="CZ3" s="1">
        <v>8.1243529999999999E-7</v>
      </c>
      <c r="DA3" s="1">
        <v>1.7009629999999999E-6</v>
      </c>
      <c r="DB3" s="1">
        <v>3.1394949999999998E-6</v>
      </c>
      <c r="DC3" s="1">
        <v>5.1753090000000002E-8</v>
      </c>
      <c r="DD3" s="1">
        <v>3.5498099999999999E-7</v>
      </c>
      <c r="DE3" s="1">
        <v>1.9936930000000001E-6</v>
      </c>
      <c r="DF3" s="1">
        <v>9.9979249999999997E-6</v>
      </c>
      <c r="DG3" s="1">
        <v>9.9131589999999997E-6</v>
      </c>
      <c r="DH3" s="1">
        <v>2.786767E-7</v>
      </c>
      <c r="DI3" s="1">
        <v>2.0193170000000001E-3</v>
      </c>
      <c r="DJ3" s="1">
        <v>7.3788789999999999E-19</v>
      </c>
      <c r="DK3" s="1">
        <v>2.006843E-7</v>
      </c>
      <c r="DL3" s="1">
        <v>1.8827709999999998E-8</v>
      </c>
      <c r="DM3" s="1">
        <v>8.888057E-7</v>
      </c>
      <c r="DN3" s="1">
        <v>1.9801750000000001E-7</v>
      </c>
      <c r="DO3" s="1">
        <v>1.915756E-6</v>
      </c>
      <c r="DP3" s="1">
        <v>3.592888E-6</v>
      </c>
      <c r="DQ3" s="1">
        <v>1.073198E-5</v>
      </c>
      <c r="DR3" s="1">
        <v>1.309249E-8</v>
      </c>
      <c r="DS3" s="1">
        <v>1.862141E-6</v>
      </c>
      <c r="DT3" s="1">
        <v>2.1897550000000001E-18</v>
      </c>
      <c r="DU3" s="1">
        <v>3.2622519999999999E-10</v>
      </c>
      <c r="DV3" s="1">
        <v>1.272028E-6</v>
      </c>
      <c r="DW3" s="1">
        <v>7.1114460000000002E-6</v>
      </c>
      <c r="DX3" s="1">
        <f>SUM(Table3[[#This Row],[mat]:[60143]])</f>
        <v>7.9423370128006033E-3</v>
      </c>
      <c r="DY3" s="1">
        <f>Table3[[#This Row],[92235]]/Table3[[#This Row],[TOT]]</f>
        <v>4.2738478542640748E-2</v>
      </c>
      <c r="DZ3" s="1">
        <f>Table3[[#This Row],[92238]]/Table3[[#This Row],[TOT]]</f>
        <v>0.25424720667801964</v>
      </c>
      <c r="EA3" s="1">
        <f>Table3[[#This Row],[fract1]]/(Table3[[#This Row],[fract1]]+Table3[[#This Row],[fract2]])</f>
        <v>0.14390753719623239</v>
      </c>
      <c r="EB3" s="1">
        <f>($EI$2-Table3[[#This Row],[92235]])</f>
        <v>2.0448993333333339E-4</v>
      </c>
      <c r="EC3" s="1">
        <f>Table3[[#This Row],[at cons]]*200*1.6E-19*6.022E+23</f>
        <v>3940.6028113066677</v>
      </c>
      <c r="ED3" s="1">
        <f>Table3[[#This Row],[Efis (MJ)]]/3600/24</f>
        <v>4.5608828834567912E-2</v>
      </c>
      <c r="EE3" s="1">
        <f>Table3[[#This Row],[Efis (MWj)]]/$EM$1</f>
        <v>23369.96763402742</v>
      </c>
      <c r="EF3" s="2">
        <f>Table3[[#This Row],[Efis (MWj)]]/$EM$1/1000</f>
        <v>23.369967634027422</v>
      </c>
    </row>
    <row r="4" spans="1:143" x14ac:dyDescent="0.55000000000000004">
      <c r="A4" t="s">
        <v>6</v>
      </c>
      <c r="B4" s="1">
        <v>3.7855329999999997E-18</v>
      </c>
      <c r="C4" s="1">
        <v>1.727658E-9</v>
      </c>
      <c r="D4" s="1">
        <v>2.0948690000000001E-7</v>
      </c>
      <c r="E4" s="1">
        <v>1.7698920000000001E-7</v>
      </c>
      <c r="F4" s="1">
        <v>1.611494E-7</v>
      </c>
      <c r="G4" s="1">
        <v>2.0517899999999999E-7</v>
      </c>
      <c r="H4" s="1">
        <v>1.5284989999999999E-5</v>
      </c>
      <c r="I4" s="1">
        <v>1.6074249999999999E-5</v>
      </c>
      <c r="J4" s="1">
        <v>8.6073359999999999E-6</v>
      </c>
      <c r="K4" s="1">
        <v>1.6403879999999999E-5</v>
      </c>
      <c r="L4" s="1">
        <v>1.5978579999999998E-5</v>
      </c>
      <c r="M4" s="1">
        <v>7.0826900000000001E-6</v>
      </c>
      <c r="N4" s="1">
        <v>1.657922E-6</v>
      </c>
      <c r="O4" s="1">
        <v>2.1320940000000001E-6</v>
      </c>
      <c r="P4" s="1">
        <v>1.297395E-3</v>
      </c>
      <c r="Q4" s="1">
        <v>3.770264E-6</v>
      </c>
      <c r="R4" s="1">
        <v>1.514077E-7</v>
      </c>
      <c r="S4" s="1">
        <v>5.6088780000000003E-8</v>
      </c>
      <c r="T4" s="1">
        <v>1.41952E-6</v>
      </c>
      <c r="U4" s="1">
        <v>1.076302E-6</v>
      </c>
      <c r="V4" s="1">
        <v>1.904505E-10</v>
      </c>
      <c r="W4" s="1">
        <v>1.052999E-5</v>
      </c>
      <c r="X4" s="1">
        <v>1.503062E-9</v>
      </c>
      <c r="Y4" s="1">
        <v>3.199845E-7</v>
      </c>
      <c r="Z4" s="1">
        <v>1.301559E-7</v>
      </c>
      <c r="AA4" s="1">
        <v>4.4144359999999999E-13</v>
      </c>
      <c r="AB4" s="1">
        <v>3.7146929999999998E-6</v>
      </c>
      <c r="AC4" s="1">
        <v>4.1759609999999999E-8</v>
      </c>
      <c r="AD4" s="1">
        <v>1.0292579999999999E-7</v>
      </c>
      <c r="AE4" s="1">
        <v>1.5782339999999999E-5</v>
      </c>
      <c r="AF4" s="1">
        <v>1.395812E-6</v>
      </c>
      <c r="AG4" s="1">
        <v>1.1598400000000001E-5</v>
      </c>
      <c r="AH4" s="1">
        <v>2.751781E-5</v>
      </c>
      <c r="AI4" s="1">
        <v>4.4108410000000003E-7</v>
      </c>
      <c r="AJ4" s="1">
        <v>1.5508119999999999E-13</v>
      </c>
      <c r="AK4" s="1">
        <v>5.4762689999999999E-13</v>
      </c>
      <c r="AL4" s="1">
        <v>3.892179E-3</v>
      </c>
      <c r="AM4" s="1">
        <v>2.088397E-5</v>
      </c>
      <c r="AN4" s="1">
        <v>4.801526E-9</v>
      </c>
      <c r="AO4" s="1">
        <v>3.4234820000000001E-5</v>
      </c>
      <c r="AP4" s="1">
        <v>6.39866E-6</v>
      </c>
      <c r="AQ4" s="1">
        <v>1.3365839999999999E-5</v>
      </c>
      <c r="AR4" s="1">
        <v>2.204582E-13</v>
      </c>
      <c r="AS4" s="1">
        <v>2.6537429999999998E-6</v>
      </c>
      <c r="AT4" s="1">
        <v>1.667672E-5</v>
      </c>
      <c r="AU4" s="1">
        <v>1.6479189999999999E-8</v>
      </c>
      <c r="AV4" s="1">
        <v>1.3121309999999999E-6</v>
      </c>
      <c r="AW4" s="1">
        <v>1.6065210000000001E-5</v>
      </c>
      <c r="AX4" s="1">
        <v>3.261071E-8</v>
      </c>
      <c r="AY4" s="1">
        <v>1.7307819999999999E-5</v>
      </c>
      <c r="AZ4" s="1">
        <v>1.281217E-18</v>
      </c>
      <c r="BA4" s="1">
        <v>3.8770770000000001E-13</v>
      </c>
      <c r="BB4" s="1">
        <v>1.8220489999999999E-5</v>
      </c>
      <c r="BC4" s="1">
        <v>5.8308670000000001E-6</v>
      </c>
      <c r="BD4" s="1">
        <v>3.9012809999999999E-8</v>
      </c>
      <c r="BE4" s="1">
        <v>1.611712E-9</v>
      </c>
      <c r="BF4" s="1">
        <v>7.0635689999999995E-11</v>
      </c>
      <c r="BG4" s="1">
        <v>6.2466999999999995E-14</v>
      </c>
      <c r="BH4" s="1">
        <v>1.3138949999999999E-6</v>
      </c>
      <c r="BI4" s="1">
        <v>1.5363470000000001E-8</v>
      </c>
      <c r="BJ4" s="1">
        <v>1.825207E-10</v>
      </c>
      <c r="BK4" s="1">
        <v>1.6055070000000001E-14</v>
      </c>
      <c r="BL4" s="1">
        <v>5.6482800000000001E-6</v>
      </c>
      <c r="BM4" s="1">
        <v>7.309772E-6</v>
      </c>
      <c r="BN4" s="1">
        <v>6.132457E-9</v>
      </c>
      <c r="BO4" s="1">
        <v>2.795278E-6</v>
      </c>
      <c r="BP4" s="1">
        <v>7.2167720000000003E-9</v>
      </c>
      <c r="BQ4" s="1">
        <v>1.39158E-5</v>
      </c>
      <c r="BR4" s="1">
        <v>1.283897E-5</v>
      </c>
      <c r="BS4" s="1">
        <v>3.2154749999999999E-6</v>
      </c>
      <c r="BT4" s="1">
        <v>2.4784740000000002E-4</v>
      </c>
      <c r="BU4" s="1">
        <v>2.866949E-9</v>
      </c>
      <c r="BV4" s="1">
        <v>2.3351770000000001E-7</v>
      </c>
      <c r="BW4" s="1">
        <v>4.9862340000000001E-5</v>
      </c>
      <c r="BX4" s="1">
        <v>8.0832360000000001E-8</v>
      </c>
      <c r="BY4" s="1">
        <v>1.149313E-12</v>
      </c>
      <c r="BZ4" s="1">
        <v>1.9416760000000002E-6</v>
      </c>
      <c r="CA4" s="1">
        <v>6.1568960000000002E-6</v>
      </c>
      <c r="CB4" s="1">
        <v>2.4358020000000001E-6</v>
      </c>
      <c r="CC4" s="1">
        <v>1.1258070000000001E-6</v>
      </c>
      <c r="CD4" s="1">
        <v>1.3575769999999999E-5</v>
      </c>
      <c r="CE4" s="1">
        <v>4.2794590000000002E-7</v>
      </c>
      <c r="CF4" s="1">
        <v>8.7969730000000001E-6</v>
      </c>
      <c r="CG4" s="1">
        <v>4.1528710000000002E-7</v>
      </c>
      <c r="CH4" s="1">
        <v>2.3293629999999999E-7</v>
      </c>
      <c r="CI4" s="1">
        <v>9.4481050000000006E-6</v>
      </c>
      <c r="CJ4" s="1">
        <v>1.6996219999999998E-11</v>
      </c>
      <c r="CK4" s="1">
        <v>1.1915929999999999E-10</v>
      </c>
      <c r="CL4" s="1">
        <v>2.1233500000000002E-6</v>
      </c>
      <c r="CM4" s="1">
        <v>9.2116649999999995E-10</v>
      </c>
      <c r="CN4" s="1">
        <v>4.9065450000000001E-6</v>
      </c>
      <c r="CO4" s="1">
        <v>7.8514010000000001E-6</v>
      </c>
      <c r="CP4" s="1">
        <v>5.1290769999999997E-7</v>
      </c>
      <c r="CQ4" s="1">
        <v>3.4468019999999998E-6</v>
      </c>
      <c r="CR4" s="1">
        <v>4.8218250000000002E-8</v>
      </c>
      <c r="CS4" s="1">
        <v>5.6425240000000001E-8</v>
      </c>
      <c r="CT4" s="1">
        <v>2.2578210000000002E-6</v>
      </c>
      <c r="CU4" s="1">
        <v>8.9058700000000002E-6</v>
      </c>
      <c r="CV4" s="1">
        <v>3.973255E-6</v>
      </c>
      <c r="CW4" s="1">
        <v>1.406338E-6</v>
      </c>
      <c r="CX4" s="1">
        <v>1.4868120000000001E-5</v>
      </c>
      <c r="CY4" s="1">
        <v>5.4059129999999995E-7</v>
      </c>
      <c r="CZ4" s="1">
        <v>1.187175E-6</v>
      </c>
      <c r="DA4" s="1">
        <v>2.6991410000000002E-6</v>
      </c>
      <c r="DB4" s="1">
        <v>4.8260699999999999E-6</v>
      </c>
      <c r="DC4" s="1">
        <v>5.1319539999999998E-8</v>
      </c>
      <c r="DD4" s="1">
        <v>7.5618429999999997E-7</v>
      </c>
      <c r="DE4" s="1">
        <v>5.8428399999999996E-6</v>
      </c>
      <c r="DF4" s="1">
        <v>1.5932099999999999E-5</v>
      </c>
      <c r="DG4" s="1">
        <v>1.586459E-5</v>
      </c>
      <c r="DH4" s="1">
        <v>2.359269E-7</v>
      </c>
      <c r="DI4" s="1">
        <v>1.973477E-3</v>
      </c>
      <c r="DJ4" s="1">
        <v>5.3228119999999997E-17</v>
      </c>
      <c r="DK4" s="1">
        <v>3.7462699999999998E-7</v>
      </c>
      <c r="DL4" s="1">
        <v>2.4156000000000001E-8</v>
      </c>
      <c r="DM4" s="1">
        <v>1.381092E-6</v>
      </c>
      <c r="DN4" s="1">
        <v>2.23535E-7</v>
      </c>
      <c r="DO4" s="1">
        <v>3.3133090000000001E-6</v>
      </c>
      <c r="DP4" s="1">
        <v>7.4256730000000002E-6</v>
      </c>
      <c r="DQ4" s="1">
        <v>1.702175E-5</v>
      </c>
      <c r="DR4" s="1">
        <v>4.4414649999999999E-8</v>
      </c>
      <c r="DS4" s="1">
        <v>4.9180369999999997E-6</v>
      </c>
      <c r="DT4" s="1">
        <v>1.1910160000000001E-16</v>
      </c>
      <c r="DU4" s="1">
        <v>1.29267E-9</v>
      </c>
      <c r="DV4" s="1">
        <v>2.0987030000000002E-6</v>
      </c>
      <c r="DW4" s="1">
        <v>1.155896E-5</v>
      </c>
      <c r="DX4" s="1">
        <f>SUM(Table3[[#This Row],[mat]:[60143]])</f>
        <v>8.0144524840252383E-3</v>
      </c>
      <c r="DY4" s="1">
        <f>Table3[[#This Row],[92235]]/Table3[[#This Row],[TOT]]</f>
        <v>3.0925057013441708E-2</v>
      </c>
      <c r="DZ4" s="1">
        <f>Table3[[#This Row],[92238]]/Table3[[#This Row],[TOT]]</f>
        <v>0.24623977794286281</v>
      </c>
      <c r="EA4" s="1">
        <f>Table3[[#This Row],[fract1]]/(Table3[[#This Row],[fract1]]+Table3[[#This Row],[fract2]])</f>
        <v>0.11157640910080492</v>
      </c>
      <c r="EB4" s="1">
        <f>($EI$2-Table3[[#This Row],[92235]])</f>
        <v>2.9608593333333338E-4</v>
      </c>
      <c r="EC4" s="1">
        <f>Table3[[#This Row],[at cons]]*200*1.6E-19*6.022E+23</f>
        <v>5705.6943697066681</v>
      </c>
      <c r="ED4" s="1">
        <f>Table3[[#This Row],[Efis (MJ)]]/3600/24</f>
        <v>6.6038129279012356E-2</v>
      </c>
      <c r="EE4" s="1">
        <f>Table3[[#This Row],[Efis (MWj)]]/$EM$1</f>
        <v>33837.942856636786</v>
      </c>
      <c r="EF4" s="2">
        <f>Table3[[#This Row],[Efis (MWj)]]/$EM$1/1000</f>
        <v>33.837942856636786</v>
      </c>
    </row>
    <row r="5" spans="1:143" x14ac:dyDescent="0.55000000000000004">
      <c r="A5" t="s">
        <v>2</v>
      </c>
      <c r="B5" s="1">
        <v>5.191947E-16</v>
      </c>
      <c r="C5" s="1">
        <v>1.571101E-9</v>
      </c>
      <c r="D5" s="1">
        <v>3.8699870000000001E-7</v>
      </c>
      <c r="E5" s="1">
        <v>5.4383510000000004E-7</v>
      </c>
      <c r="F5" s="1">
        <v>2.5072880000000001E-7</v>
      </c>
      <c r="G5" s="1">
        <v>4.0139150000000001E-7</v>
      </c>
      <c r="H5" s="1">
        <v>1.8890219999999999E-5</v>
      </c>
      <c r="I5" s="1">
        <v>1.9636999999999999E-5</v>
      </c>
      <c r="J5" s="1">
        <v>1.3848929999999999E-5</v>
      </c>
      <c r="K5" s="1">
        <v>2.051792E-5</v>
      </c>
      <c r="L5" s="1">
        <v>1.9819780000000002E-5</v>
      </c>
      <c r="M5" s="1">
        <v>4.5541210000000001E-6</v>
      </c>
      <c r="N5" s="1">
        <v>3.2993630000000002E-6</v>
      </c>
      <c r="O5" s="1">
        <v>3.7334640000000002E-6</v>
      </c>
      <c r="P5" s="1">
        <v>1.346194E-3</v>
      </c>
      <c r="Q5" s="1">
        <v>5.7269159999999998E-6</v>
      </c>
      <c r="R5" s="1">
        <v>2.851903E-7</v>
      </c>
      <c r="S5" s="1">
        <v>9.9013249999999995E-8</v>
      </c>
      <c r="T5" s="1">
        <v>2.5756349999999999E-6</v>
      </c>
      <c r="U5" s="1">
        <v>1.703596E-6</v>
      </c>
      <c r="V5" s="1">
        <v>7.0842629999999996E-10</v>
      </c>
      <c r="W5" s="1">
        <v>1.052018E-5</v>
      </c>
      <c r="X5" s="1">
        <v>1.725065E-9</v>
      </c>
      <c r="Y5" s="1">
        <v>9.3236750000000001E-7</v>
      </c>
      <c r="Z5" s="1">
        <v>2.7512139999999999E-7</v>
      </c>
      <c r="AA5" s="1">
        <v>1.5130439999999999E-11</v>
      </c>
      <c r="AB5" s="1">
        <v>2.0026009999999999E-6</v>
      </c>
      <c r="AC5" s="1">
        <v>3.6597590000000003E-8</v>
      </c>
      <c r="AD5" s="1">
        <v>8.3426649999999997E-8</v>
      </c>
      <c r="AE5" s="1">
        <v>1.9920900000000001E-5</v>
      </c>
      <c r="AF5" s="1">
        <v>6.9917169999999995E-7</v>
      </c>
      <c r="AG5" s="1">
        <v>1.7146860000000001E-5</v>
      </c>
      <c r="AH5" s="1">
        <v>2.2221759999999998E-5</v>
      </c>
      <c r="AI5" s="1">
        <v>1.4740490000000001E-6</v>
      </c>
      <c r="AJ5" s="1">
        <v>4.8631539999999996E-13</v>
      </c>
      <c r="AK5" s="1">
        <v>1.6749210000000001E-12</v>
      </c>
      <c r="AL5" s="1">
        <v>4.0385739999999996E-3</v>
      </c>
      <c r="AM5" s="1">
        <v>2.6643800000000001E-5</v>
      </c>
      <c r="AN5" s="1">
        <v>4.2669090000000002E-9</v>
      </c>
      <c r="AO5" s="1">
        <v>4.4054590000000003E-5</v>
      </c>
      <c r="AP5" s="1">
        <v>7.2474530000000003E-6</v>
      </c>
      <c r="AQ5" s="1">
        <v>1.8805350000000001E-5</v>
      </c>
      <c r="AR5" s="1">
        <v>4.8506909999999996E-13</v>
      </c>
      <c r="AS5" s="1">
        <v>4.8972100000000002E-6</v>
      </c>
      <c r="AT5" s="1">
        <v>2.1298140000000001E-5</v>
      </c>
      <c r="AU5" s="1">
        <v>2.9153589999999999E-8</v>
      </c>
      <c r="AV5" s="1">
        <v>2.7884380000000001E-6</v>
      </c>
      <c r="AW5" s="1">
        <v>1.9394140000000001E-5</v>
      </c>
      <c r="AX5" s="1">
        <v>3.3491300000000002E-8</v>
      </c>
      <c r="AY5" s="1">
        <v>2.217858E-5</v>
      </c>
      <c r="AZ5" s="1">
        <v>2.983092E-18</v>
      </c>
      <c r="BA5" s="1">
        <v>8.5600889999999998E-13</v>
      </c>
      <c r="BB5" s="1">
        <v>2.3034569999999999E-5</v>
      </c>
      <c r="BC5" s="1">
        <v>8.3716619999999992E-6</v>
      </c>
      <c r="BD5" s="1">
        <v>3.3085729999999999E-7</v>
      </c>
      <c r="BE5" s="1">
        <v>1.968125E-8</v>
      </c>
      <c r="BF5" s="1">
        <v>1.648442E-9</v>
      </c>
      <c r="BG5" s="1">
        <v>1.4590550000000001E-13</v>
      </c>
      <c r="BH5" s="1">
        <v>3.7487650000000001E-6</v>
      </c>
      <c r="BI5" s="1">
        <v>5.5815549999999997E-8</v>
      </c>
      <c r="BJ5" s="1">
        <v>1.1435379999999999E-9</v>
      </c>
      <c r="BK5" s="1">
        <v>9.0344050000000002E-13</v>
      </c>
      <c r="BL5" s="1">
        <v>3.2771719999999998E-6</v>
      </c>
      <c r="BM5" s="1">
        <v>1.063824E-5</v>
      </c>
      <c r="BN5" s="1">
        <v>5.877212E-9</v>
      </c>
      <c r="BO5" s="1">
        <v>4.1683499999999997E-6</v>
      </c>
      <c r="BP5" s="1">
        <v>7.5035270000000003E-9</v>
      </c>
      <c r="BQ5" s="1">
        <v>1.7641600000000001E-5</v>
      </c>
      <c r="BR5" s="1">
        <v>1.735676E-5</v>
      </c>
      <c r="BS5" s="1">
        <v>2.1123149999999999E-6</v>
      </c>
      <c r="BT5" s="1">
        <v>2.2770310000000001E-4</v>
      </c>
      <c r="BU5" s="1">
        <v>5.2801109999999998E-9</v>
      </c>
      <c r="BV5" s="1">
        <v>1.9759429999999999E-7</v>
      </c>
      <c r="BW5" s="1">
        <v>5.391673E-5</v>
      </c>
      <c r="BX5" s="1">
        <v>1.143708E-7</v>
      </c>
      <c r="BY5" s="1">
        <v>1.1510399999999999E-12</v>
      </c>
      <c r="BZ5" s="1">
        <v>2.5895470000000002E-6</v>
      </c>
      <c r="CA5" s="1">
        <v>7.373278E-6</v>
      </c>
      <c r="CB5" s="1">
        <v>2.9407489999999999E-6</v>
      </c>
      <c r="CC5" s="1">
        <v>9.8183229999999992E-7</v>
      </c>
      <c r="CD5" s="1">
        <v>1.6135849999999999E-5</v>
      </c>
      <c r="CE5" s="1">
        <v>7.8046630000000002E-7</v>
      </c>
      <c r="CF5" s="1">
        <v>1.1800489999999999E-5</v>
      </c>
      <c r="CG5" s="1">
        <v>2.326088E-7</v>
      </c>
      <c r="CH5" s="1">
        <v>1.0870389999999999E-6</v>
      </c>
      <c r="CI5" s="1">
        <v>1.116892E-5</v>
      </c>
      <c r="CJ5" s="1">
        <v>9.0451049999999994E-11</v>
      </c>
      <c r="CK5" s="1">
        <v>6.8336899999999998E-10</v>
      </c>
      <c r="CL5" s="1">
        <v>5.5587060000000004E-6</v>
      </c>
      <c r="CM5" s="1">
        <v>2.6948580000000001E-9</v>
      </c>
      <c r="CN5" s="1">
        <v>6.2720500000000004E-6</v>
      </c>
      <c r="CO5" s="1">
        <v>9.9234689999999993E-6</v>
      </c>
      <c r="CP5" s="1">
        <v>7.2879169999999998E-7</v>
      </c>
      <c r="CQ5" s="1">
        <v>3.187231E-6</v>
      </c>
      <c r="CR5" s="1">
        <v>3.882299E-8</v>
      </c>
      <c r="CS5" s="1">
        <v>4.3974159999999999E-8</v>
      </c>
      <c r="CT5" s="1">
        <v>3.0446699999999999E-6</v>
      </c>
      <c r="CU5" s="1">
        <v>1.065424E-5</v>
      </c>
      <c r="CV5" s="1">
        <v>2.1543310000000001E-6</v>
      </c>
      <c r="CW5" s="1">
        <v>7.5690669999999996E-7</v>
      </c>
      <c r="CX5" s="1">
        <v>1.7986440000000001E-5</v>
      </c>
      <c r="CY5" s="1">
        <v>6.5864379999999999E-7</v>
      </c>
      <c r="CZ5" s="1">
        <v>1.2790749999999999E-6</v>
      </c>
      <c r="DA5" s="1">
        <v>3.426289E-6</v>
      </c>
      <c r="DB5" s="1">
        <v>5.7926490000000001E-6</v>
      </c>
      <c r="DC5" s="1">
        <v>3.8802159999999997E-8</v>
      </c>
      <c r="DD5" s="1">
        <v>1.2585300000000001E-6</v>
      </c>
      <c r="DE5" s="1">
        <v>1.2669639999999999E-5</v>
      </c>
      <c r="DF5" s="1">
        <v>2.0092060000000001E-5</v>
      </c>
      <c r="DG5" s="1">
        <v>2.0256970000000001E-5</v>
      </c>
      <c r="DH5" s="1">
        <v>1.768679E-7</v>
      </c>
      <c r="DI5" s="1">
        <v>2.007787E-3</v>
      </c>
      <c r="DJ5" s="1">
        <v>4.8384770000000002E-15</v>
      </c>
      <c r="DK5" s="1">
        <v>5.8363600000000005E-7</v>
      </c>
      <c r="DL5" s="1">
        <v>2.4495499999999999E-8</v>
      </c>
      <c r="DM5" s="1">
        <v>1.557558E-6</v>
      </c>
      <c r="DN5" s="1">
        <v>2.036277E-7</v>
      </c>
      <c r="DO5" s="1">
        <v>4.5013859999999998E-6</v>
      </c>
      <c r="DP5" s="1">
        <v>1.144641E-5</v>
      </c>
      <c r="DQ5" s="1">
        <v>2.1428879999999999E-5</v>
      </c>
      <c r="DR5" s="1">
        <v>1.028919E-7</v>
      </c>
      <c r="DS5" s="1">
        <v>1.0924800000000001E-5</v>
      </c>
      <c r="DT5" s="1">
        <v>6.9195410000000002E-15</v>
      </c>
      <c r="DU5" s="1">
        <v>2.8986940000000001E-9</v>
      </c>
      <c r="DV5" s="1">
        <v>2.9087000000000002E-6</v>
      </c>
      <c r="DW5" s="1">
        <v>1.3281179999999999E-5</v>
      </c>
      <c r="DX5" s="1">
        <f>SUM(Table3[[#This Row],[mat]:[60143]])</f>
        <v>8.3722896840387681E-3</v>
      </c>
      <c r="DY5" s="1">
        <f>Table3[[#This Row],[92235]]/Table3[[#This Row],[TOT]]</f>
        <v>2.7197231413779353E-2</v>
      </c>
      <c r="DZ5" s="1">
        <f>Table3[[#This Row],[92238]]/Table3[[#This Row],[TOT]]</f>
        <v>0.23981336955262272</v>
      </c>
      <c r="EA5" s="1">
        <f>Table3[[#This Row],[fract1]]/(Table3[[#This Row],[fract1]]+Table3[[#This Row],[fract2]])</f>
        <v>0.10185824576006845</v>
      </c>
      <c r="EB5" s="1">
        <f>($EI$2-Table3[[#This Row],[92235]])</f>
        <v>3.1623023333333337E-4</v>
      </c>
      <c r="EC5" s="1">
        <f>Table3[[#This Row],[at cons]]*200*1.6E-19*6.022E+23</f>
        <v>6093.8830884266663</v>
      </c>
      <c r="ED5" s="1">
        <f>Table3[[#This Row],[Efis (MJ)]]/3600/24</f>
        <v>7.0531054264197521E-2</v>
      </c>
      <c r="EE5" s="1">
        <f>Table3[[#This Row],[Efis (MWj)]]/$EM$1</f>
        <v>36140.117987393685</v>
      </c>
      <c r="EF5" s="2">
        <f>Table3[[#This Row],[Efis (MWj)]]/$EM$1/1000</f>
        <v>36.140117987393687</v>
      </c>
    </row>
    <row r="6" spans="1:143" x14ac:dyDescent="0.55000000000000004">
      <c r="A6" t="s">
        <v>5</v>
      </c>
      <c r="B6" s="1">
        <v>1.0548139999999999E-15</v>
      </c>
      <c r="C6" s="1">
        <v>1.635336E-9</v>
      </c>
      <c r="D6" s="1">
        <v>4.0726039999999998E-7</v>
      </c>
      <c r="E6" s="1">
        <v>5.690571E-7</v>
      </c>
      <c r="F6" s="1">
        <v>2.6402200000000001E-7</v>
      </c>
      <c r="G6" s="1">
        <v>5.3765420000000004E-7</v>
      </c>
      <c r="H6" s="1">
        <v>2.026892E-5</v>
      </c>
      <c r="I6" s="1">
        <v>2.1014850000000001E-5</v>
      </c>
      <c r="J6" s="1">
        <v>1.555613E-5</v>
      </c>
      <c r="K6" s="1">
        <v>2.1905480000000001E-5</v>
      </c>
      <c r="L6" s="1">
        <v>2.117777E-5</v>
      </c>
      <c r="M6" s="1">
        <v>3.7881569999999999E-6</v>
      </c>
      <c r="N6" s="1">
        <v>3.8075399999999998E-6</v>
      </c>
      <c r="O6" s="1">
        <v>3.8973010000000002E-6</v>
      </c>
      <c r="P6" s="1">
        <v>1.297423E-3</v>
      </c>
      <c r="Q6" s="1">
        <v>6.0597099999999996E-6</v>
      </c>
      <c r="R6" s="1">
        <v>2.839716E-7</v>
      </c>
      <c r="S6" s="1">
        <v>1.01677E-7</v>
      </c>
      <c r="T6" s="1">
        <v>2.6822220000000001E-6</v>
      </c>
      <c r="U6" s="1">
        <v>1.771958E-6</v>
      </c>
      <c r="V6" s="1">
        <v>1.1295929999999999E-9</v>
      </c>
      <c r="W6" s="1">
        <v>1.140224E-5</v>
      </c>
      <c r="X6" s="1">
        <v>1.5258280000000001E-9</v>
      </c>
      <c r="Y6" s="1">
        <v>1.0277280000000001E-6</v>
      </c>
      <c r="Z6" s="1">
        <v>2.8419130000000001E-7</v>
      </c>
      <c r="AA6" s="1">
        <v>1.8720679999999999E-11</v>
      </c>
      <c r="AB6" s="1">
        <v>1.7185210000000001E-6</v>
      </c>
      <c r="AC6" s="1">
        <v>3.5360400000000002E-8</v>
      </c>
      <c r="AD6" s="1">
        <v>7.2059819999999994E-8</v>
      </c>
      <c r="AE6" s="1">
        <v>2.124E-5</v>
      </c>
      <c r="AF6" s="1">
        <v>6.7858669999999998E-7</v>
      </c>
      <c r="AG6" s="1">
        <v>1.873864E-5</v>
      </c>
      <c r="AH6" s="1">
        <v>2.542328E-5</v>
      </c>
      <c r="AI6" s="1">
        <v>1.547584E-6</v>
      </c>
      <c r="AJ6" s="1">
        <v>3.5766200000000001E-13</v>
      </c>
      <c r="AK6" s="1">
        <v>1.657281E-12</v>
      </c>
      <c r="AL6" s="1">
        <v>3.8922620000000001E-3</v>
      </c>
      <c r="AM6" s="1">
        <v>2.8407190000000001E-5</v>
      </c>
      <c r="AN6" s="1">
        <v>3.8865669999999996E-9</v>
      </c>
      <c r="AO6" s="1">
        <v>4.6872780000000002E-5</v>
      </c>
      <c r="AP6" s="1">
        <v>7.8574649999999998E-6</v>
      </c>
      <c r="AQ6" s="1">
        <v>1.9938100000000001E-5</v>
      </c>
      <c r="AR6" s="1">
        <v>4.7881949999999999E-13</v>
      </c>
      <c r="AS6" s="1">
        <v>5.0504540000000002E-6</v>
      </c>
      <c r="AT6" s="1">
        <v>2.2626419999999999E-5</v>
      </c>
      <c r="AU6" s="1">
        <v>2.8036969999999999E-8</v>
      </c>
      <c r="AV6" s="1">
        <v>2.7276949999999998E-6</v>
      </c>
      <c r="AW6" s="1">
        <v>2.0862620000000001E-5</v>
      </c>
      <c r="AX6" s="1">
        <v>3.7245659999999999E-8</v>
      </c>
      <c r="AY6" s="1">
        <v>2.3633589999999999E-5</v>
      </c>
      <c r="AZ6" s="1">
        <v>3.5998109999999999E-18</v>
      </c>
      <c r="BA6" s="1">
        <v>1.1255159999999999E-12</v>
      </c>
      <c r="BB6" s="1">
        <v>2.4597860000000001E-5</v>
      </c>
      <c r="BC6" s="1">
        <v>9.5106220000000002E-6</v>
      </c>
      <c r="BD6" s="1">
        <v>3.5690480000000002E-7</v>
      </c>
      <c r="BE6" s="1">
        <v>2.091983E-8</v>
      </c>
      <c r="BF6" s="1">
        <v>1.9600630000000001E-9</v>
      </c>
      <c r="BG6" s="1">
        <v>1.635557E-13</v>
      </c>
      <c r="BH6" s="1">
        <v>3.9511110000000003E-6</v>
      </c>
      <c r="BI6" s="1">
        <v>5.7871979999999997E-8</v>
      </c>
      <c r="BJ6" s="1">
        <v>1.2057169999999999E-9</v>
      </c>
      <c r="BK6" s="1">
        <v>1.16866E-12</v>
      </c>
      <c r="BL6" s="1">
        <v>2.7962789999999999E-6</v>
      </c>
      <c r="BM6" s="1">
        <v>1.1227020000000001E-5</v>
      </c>
      <c r="BN6" s="1">
        <v>5.5787420000000003E-9</v>
      </c>
      <c r="BO6" s="1">
        <v>3.9802649999999999E-6</v>
      </c>
      <c r="BP6" s="1">
        <v>6.8108920000000001E-9</v>
      </c>
      <c r="BQ6" s="1">
        <v>1.8819549999999998E-5</v>
      </c>
      <c r="BR6" s="1">
        <v>1.842625E-5</v>
      </c>
      <c r="BS6" s="1">
        <v>1.624789E-6</v>
      </c>
      <c r="BT6" s="1">
        <v>1.842673E-4</v>
      </c>
      <c r="BU6" s="1">
        <v>7.3494490000000002E-9</v>
      </c>
      <c r="BV6" s="1">
        <v>1.6706180000000001E-7</v>
      </c>
      <c r="BW6" s="1">
        <v>5.8304970000000003E-5</v>
      </c>
      <c r="BX6" s="1">
        <v>8.3786160000000005E-8</v>
      </c>
      <c r="BY6" s="1">
        <v>1.4746820000000001E-12</v>
      </c>
      <c r="BZ6" s="1">
        <v>2.751391E-6</v>
      </c>
      <c r="CA6" s="1">
        <v>7.9025439999999997E-6</v>
      </c>
      <c r="CB6" s="1">
        <v>3.1574360000000002E-6</v>
      </c>
      <c r="CC6" s="1">
        <v>8.8711839999999999E-7</v>
      </c>
      <c r="CD6" s="1">
        <v>1.7245470000000001E-5</v>
      </c>
      <c r="CE6" s="1">
        <v>8.1377779999999999E-7</v>
      </c>
      <c r="CF6" s="1">
        <v>1.256342E-5</v>
      </c>
      <c r="CG6" s="1">
        <v>2.2068669999999999E-7</v>
      </c>
      <c r="CH6" s="1">
        <v>1.13617E-6</v>
      </c>
      <c r="CI6" s="1">
        <v>1.1974289999999999E-5</v>
      </c>
      <c r="CJ6" s="1">
        <v>8.7614409999999995E-11</v>
      </c>
      <c r="CK6" s="1">
        <v>6.9860429999999997E-10</v>
      </c>
      <c r="CL6" s="1">
        <v>5.7366770000000001E-6</v>
      </c>
      <c r="CM6" s="1">
        <v>2.59663E-9</v>
      </c>
      <c r="CN6" s="1">
        <v>6.6765070000000003E-6</v>
      </c>
      <c r="CO6" s="1">
        <v>9.8268379999999994E-6</v>
      </c>
      <c r="CP6" s="1">
        <v>7.8375820000000001E-7</v>
      </c>
      <c r="CQ6" s="1">
        <v>3.4657109999999998E-6</v>
      </c>
      <c r="CR6" s="1">
        <v>3.4722740000000002E-8</v>
      </c>
      <c r="CS6" s="1">
        <v>3.9732690000000003E-8</v>
      </c>
      <c r="CT6" s="1">
        <v>3.244399E-6</v>
      </c>
      <c r="CU6" s="1">
        <v>1.142096E-5</v>
      </c>
      <c r="CV6" s="1">
        <v>1.8653350000000001E-6</v>
      </c>
      <c r="CW6" s="1">
        <v>7.1574079999999997E-7</v>
      </c>
      <c r="CX6" s="1">
        <v>1.9290799999999998E-5</v>
      </c>
      <c r="CY6" s="1">
        <v>7.0451750000000005E-7</v>
      </c>
      <c r="CZ6" s="1">
        <v>1.3812809999999999E-6</v>
      </c>
      <c r="DA6" s="1">
        <v>3.658101E-6</v>
      </c>
      <c r="DB6" s="1">
        <v>6.2071759999999998E-6</v>
      </c>
      <c r="DC6" s="1">
        <v>3.657921E-8</v>
      </c>
      <c r="DD6" s="1">
        <v>1.311345E-6</v>
      </c>
      <c r="DE6" s="1">
        <v>1.534001E-5</v>
      </c>
      <c r="DF6" s="1">
        <v>2.1442170000000001E-5</v>
      </c>
      <c r="DG6" s="1">
        <v>2.1596380000000001E-5</v>
      </c>
      <c r="DH6" s="1">
        <v>1.5652730000000001E-7</v>
      </c>
      <c r="DI6" s="1">
        <v>1.9220649999999999E-3</v>
      </c>
      <c r="DJ6" s="1">
        <v>6.2221910000000001E-15</v>
      </c>
      <c r="DK6" s="1">
        <v>6.1003119999999998E-7</v>
      </c>
      <c r="DL6" s="1">
        <v>2.4213609999999999E-8</v>
      </c>
      <c r="DM6" s="1">
        <v>1.682591E-6</v>
      </c>
      <c r="DN6" s="1">
        <v>2.3001289999999999E-7</v>
      </c>
      <c r="DO6" s="1">
        <v>4.7482690000000001E-6</v>
      </c>
      <c r="DP6" s="1">
        <v>1.2714970000000001E-5</v>
      </c>
      <c r="DQ6" s="1">
        <v>2.287161E-5</v>
      </c>
      <c r="DR6" s="1">
        <v>1.592804E-7</v>
      </c>
      <c r="DS6" s="1">
        <v>1.271235E-5</v>
      </c>
      <c r="DT6" s="1">
        <v>8.3388219999999997E-15</v>
      </c>
      <c r="DU6" s="1">
        <v>4.0914789999999997E-9</v>
      </c>
      <c r="DV6" s="1">
        <v>3.1579170000000001E-6</v>
      </c>
      <c r="DW6" s="1">
        <v>1.438277E-5</v>
      </c>
      <c r="DX6" s="1">
        <f>SUM(Table3[[#This Row],[mat]:[60143]])</f>
        <v>8.1011661978471899E-3</v>
      </c>
      <c r="DY6" s="1">
        <f>Table3[[#This Row],[92235]]/Table3[[#This Row],[TOT]]</f>
        <v>2.2745774558848988E-2</v>
      </c>
      <c r="DZ6" s="1">
        <f>Table3[[#This Row],[92238]]/Table3[[#This Row],[TOT]]</f>
        <v>0.23725781610439878</v>
      </c>
      <c r="EA6" s="1">
        <f>Table3[[#This Row],[fract1]]/(Table3[[#This Row],[fract1]]+Table3[[#This Row],[fract2]])</f>
        <v>8.7482540148104845E-2</v>
      </c>
      <c r="EB6" s="1">
        <f>($EI$2-Table3[[#This Row],[92235]])</f>
        <v>3.596660333333334E-4</v>
      </c>
      <c r="EC6" s="1">
        <f>Table3[[#This Row],[at cons]]*200*1.6E-19*6.022E+23</f>
        <v>6930.9083287466683</v>
      </c>
      <c r="ED6" s="1">
        <f>Table3[[#This Row],[Efis (MJ)]]/3600/24</f>
        <v>8.021884639753088E-2</v>
      </c>
      <c r="EE6" s="1">
        <f>Table3[[#This Row],[Efis (MWj)]]/$EM$1</f>
        <v>41104.143470757779</v>
      </c>
      <c r="EF6" s="2">
        <f>Table3[[#This Row],[Efis (MWj)]]/$EM$1/1000</f>
        <v>41.104143470757776</v>
      </c>
    </row>
    <row r="7" spans="1:143" x14ac:dyDescent="0.55000000000000004">
      <c r="A7" t="s">
        <v>8</v>
      </c>
      <c r="B7" s="1">
        <v>7.5876999999999998E-17</v>
      </c>
      <c r="C7" s="1">
        <v>1.7943000000000001E-9</v>
      </c>
      <c r="D7" s="1">
        <v>3.4212949999999999E-7</v>
      </c>
      <c r="E7" s="1">
        <v>3.9774109999999998E-7</v>
      </c>
      <c r="F7" s="1">
        <v>2.3728920000000001E-7</v>
      </c>
      <c r="G7" s="1">
        <v>3.394052E-7</v>
      </c>
      <c r="H7" s="1">
        <v>1.9469460000000001E-5</v>
      </c>
      <c r="I7" s="1">
        <v>2.0555180000000001E-5</v>
      </c>
      <c r="J7" s="1">
        <v>1.296788E-5</v>
      </c>
      <c r="K7" s="1">
        <v>2.124891E-5</v>
      </c>
      <c r="L7" s="1">
        <v>2.0598439999999999E-5</v>
      </c>
      <c r="M7" s="1">
        <v>6.7268160000000001E-6</v>
      </c>
      <c r="N7" s="1">
        <v>2.7646740000000001E-6</v>
      </c>
      <c r="O7" s="1">
        <v>3.3884060000000002E-6</v>
      </c>
      <c r="P7" s="1">
        <v>1.2867460000000001E-3</v>
      </c>
      <c r="Q7" s="1">
        <v>5.4842799999999996E-6</v>
      </c>
      <c r="R7" s="1">
        <v>2.6265009999999998E-7</v>
      </c>
      <c r="S7" s="1">
        <v>8.9442610000000004E-8</v>
      </c>
      <c r="T7" s="1">
        <v>2.307357E-6</v>
      </c>
      <c r="U7" s="1">
        <v>1.636778E-6</v>
      </c>
      <c r="V7" s="1">
        <v>3.2124409999999998E-10</v>
      </c>
      <c r="W7" s="1">
        <v>1.2152690000000001E-5</v>
      </c>
      <c r="X7" s="1">
        <v>1.991596E-9</v>
      </c>
      <c r="Y7" s="1">
        <v>6.6911549999999998E-7</v>
      </c>
      <c r="Z7" s="1">
        <v>2.2853590000000001E-7</v>
      </c>
      <c r="AA7" s="1">
        <v>4.4950739999999996E-12</v>
      </c>
      <c r="AB7" s="1">
        <v>3.211452E-6</v>
      </c>
      <c r="AC7" s="1">
        <v>4.1166929999999998E-8</v>
      </c>
      <c r="AD7" s="1">
        <v>8.3692489999999997E-8</v>
      </c>
      <c r="AE7" s="1">
        <v>2.055633E-5</v>
      </c>
      <c r="AF7" s="1">
        <v>1.147562E-6</v>
      </c>
      <c r="AG7" s="1">
        <v>1.6624320000000001E-5</v>
      </c>
      <c r="AH7" s="1">
        <v>2.7960120000000002E-5</v>
      </c>
      <c r="AI7" s="1">
        <v>1.0567350000000001E-6</v>
      </c>
      <c r="AJ7" s="1">
        <v>4.01237E-13</v>
      </c>
      <c r="AK7" s="1">
        <v>1.2664639999999999E-12</v>
      </c>
      <c r="AL7" s="1">
        <v>3.8602300000000001E-3</v>
      </c>
      <c r="AM7" s="1">
        <v>2.735692E-5</v>
      </c>
      <c r="AN7" s="1">
        <v>4.0943599999999999E-9</v>
      </c>
      <c r="AO7" s="1">
        <v>4.5084789999999998E-5</v>
      </c>
      <c r="AP7" s="1">
        <v>7.8878669999999992E-6</v>
      </c>
      <c r="AQ7" s="1">
        <v>1.8554220000000001E-5</v>
      </c>
      <c r="AR7" s="1">
        <v>4.2565869999999998E-13</v>
      </c>
      <c r="AS7" s="1">
        <v>4.420895E-6</v>
      </c>
      <c r="AT7" s="1">
        <v>2.187151E-5</v>
      </c>
      <c r="AU7" s="1">
        <v>2.7017299999999999E-8</v>
      </c>
      <c r="AV7" s="1">
        <v>2.3965479999999999E-6</v>
      </c>
      <c r="AW7" s="1">
        <v>2.05013E-5</v>
      </c>
      <c r="AX7" s="1">
        <v>3.7860890000000002E-8</v>
      </c>
      <c r="AY7" s="1">
        <v>2.2731560000000002E-5</v>
      </c>
      <c r="AZ7" s="1">
        <v>2.168235E-18</v>
      </c>
      <c r="BA7" s="1">
        <v>6.8207439999999996E-13</v>
      </c>
      <c r="BB7" s="1">
        <v>2.373404E-5</v>
      </c>
      <c r="BC7" s="1">
        <v>8.1974000000000005E-6</v>
      </c>
      <c r="BD7" s="1">
        <v>1.682214E-7</v>
      </c>
      <c r="BE7" s="1">
        <v>8.7965250000000001E-9</v>
      </c>
      <c r="BF7" s="1">
        <v>5.4506159999999997E-10</v>
      </c>
      <c r="BG7" s="1">
        <v>1.1780450000000001E-13</v>
      </c>
      <c r="BH7" s="1">
        <v>2.8509659999999998E-6</v>
      </c>
      <c r="BI7" s="1">
        <v>4.0986159999999999E-8</v>
      </c>
      <c r="BJ7" s="1">
        <v>6.7085569999999997E-10</v>
      </c>
      <c r="BK7" s="1">
        <v>2.211772E-13</v>
      </c>
      <c r="BL7" s="1">
        <v>5.0934369999999998E-6</v>
      </c>
      <c r="BM7" s="1">
        <v>1.0347049999999999E-5</v>
      </c>
      <c r="BN7" s="1">
        <v>6.0126179999999996E-9</v>
      </c>
      <c r="BO7" s="1">
        <v>4.1085230000000001E-6</v>
      </c>
      <c r="BP7" s="1">
        <v>6.9396780000000004E-9</v>
      </c>
      <c r="BQ7" s="1">
        <v>1.816892E-5</v>
      </c>
      <c r="BR7" s="1">
        <v>1.7381149999999999E-5</v>
      </c>
      <c r="BS7" s="1">
        <v>3.122708E-6</v>
      </c>
      <c r="BT7" s="1">
        <v>1.7973159999999999E-4</v>
      </c>
      <c r="BU7" s="1">
        <v>4.1927600000000003E-9</v>
      </c>
      <c r="BV7" s="1">
        <v>2.744997E-7</v>
      </c>
      <c r="BW7" s="1">
        <v>5.9702459999999997E-5</v>
      </c>
      <c r="BX7" s="1">
        <v>1.2599000000000001E-7</v>
      </c>
      <c r="BY7" s="1">
        <v>1.3229090000000001E-12</v>
      </c>
      <c r="BZ7" s="1">
        <v>2.609181E-6</v>
      </c>
      <c r="CA7" s="1">
        <v>7.7819840000000006E-6</v>
      </c>
      <c r="CB7" s="1">
        <v>3.0919699999999998E-6</v>
      </c>
      <c r="CC7" s="1">
        <v>1.088362E-6</v>
      </c>
      <c r="CD7" s="1">
        <v>1.7097560000000001E-5</v>
      </c>
      <c r="CE7" s="1">
        <v>6.9657759999999998E-7</v>
      </c>
      <c r="CF7" s="1">
        <v>1.183499E-5</v>
      </c>
      <c r="CG7" s="1">
        <v>3.4816000000000002E-7</v>
      </c>
      <c r="CH7" s="1">
        <v>6.9604619999999997E-7</v>
      </c>
      <c r="CI7" s="1">
        <v>1.187373E-5</v>
      </c>
      <c r="CJ7" s="1">
        <v>5.1099360000000002E-11</v>
      </c>
      <c r="CK7" s="1">
        <v>4.0298790000000002E-10</v>
      </c>
      <c r="CL7" s="1">
        <v>4.4588590000000001E-6</v>
      </c>
      <c r="CM7" s="1">
        <v>1.8854899999999999E-9</v>
      </c>
      <c r="CN7" s="1">
        <v>6.4375510000000001E-6</v>
      </c>
      <c r="CO7" s="1">
        <v>1.0888669999999999E-5</v>
      </c>
      <c r="CP7" s="1">
        <v>7.1629950000000001E-7</v>
      </c>
      <c r="CQ7" s="1">
        <v>3.8094700000000001E-6</v>
      </c>
      <c r="CR7" s="1">
        <v>4.4397149999999999E-8</v>
      </c>
      <c r="CS7" s="1">
        <v>6.1651249999999994E-8</v>
      </c>
      <c r="CT7" s="1">
        <v>3.0612859999999998E-6</v>
      </c>
      <c r="CU7" s="1">
        <v>1.1256249999999999E-5</v>
      </c>
      <c r="CV7" s="1">
        <v>3.4498579999999999E-6</v>
      </c>
      <c r="CW7" s="1">
        <v>1.1723110000000001E-6</v>
      </c>
      <c r="CX7" s="1">
        <v>1.897214E-5</v>
      </c>
      <c r="CY7" s="1">
        <v>6.9036390000000001E-7</v>
      </c>
      <c r="CZ7" s="1">
        <v>1.4218300000000001E-6</v>
      </c>
      <c r="DA7" s="1">
        <v>3.5220540000000001E-6</v>
      </c>
      <c r="DB7" s="1">
        <v>6.1071859999999998E-6</v>
      </c>
      <c r="DC7" s="1">
        <v>4.8418820000000001E-8</v>
      </c>
      <c r="DD7" s="1">
        <v>1.1728279999999999E-6</v>
      </c>
      <c r="DE7" s="1">
        <v>1.0489750000000001E-5</v>
      </c>
      <c r="DF7" s="1">
        <v>2.075335E-5</v>
      </c>
      <c r="DG7" s="1">
        <v>2.0791199999999998E-5</v>
      </c>
      <c r="DH7" s="1">
        <v>1.9754389999999999E-7</v>
      </c>
      <c r="DI7" s="1">
        <v>1.916E-3</v>
      </c>
      <c r="DJ7" s="1">
        <v>9.9223879999999995E-16</v>
      </c>
      <c r="DK7" s="1">
        <v>5.5339299999999998E-7</v>
      </c>
      <c r="DL7" s="1">
        <v>2.745446E-8</v>
      </c>
      <c r="DM7" s="1">
        <v>1.6815290000000001E-6</v>
      </c>
      <c r="DN7" s="1">
        <v>2.3849919999999998E-7</v>
      </c>
      <c r="DO7" s="1">
        <v>4.5409E-6</v>
      </c>
      <c r="DP7" s="1">
        <v>1.092796E-5</v>
      </c>
      <c r="DQ7" s="1">
        <v>2.213102E-5</v>
      </c>
      <c r="DR7" s="1">
        <v>7.9889700000000006E-8</v>
      </c>
      <c r="DS7" s="1">
        <v>8.8758049999999993E-6</v>
      </c>
      <c r="DT7" s="1">
        <v>1.8437159999999998E-15</v>
      </c>
      <c r="DU7" s="1">
        <v>2.5630290000000001E-9</v>
      </c>
      <c r="DV7" s="1">
        <v>2.8580610000000002E-6</v>
      </c>
      <c r="DW7" s="1">
        <v>1.441321E-5</v>
      </c>
      <c r="DX7" s="1">
        <f>SUM(Table3[[#This Row],[mat]:[60143]])</f>
        <v>8.0224528181999724E-3</v>
      </c>
      <c r="DY7" s="1">
        <f>Table3[[#This Row],[92235]]/Table3[[#This Row],[TOT]]</f>
        <v>2.2403572083622057E-2</v>
      </c>
      <c r="DZ7" s="1">
        <f>Table3[[#This Row],[92238]]/Table3[[#This Row],[TOT]]</f>
        <v>0.23882970002058548</v>
      </c>
      <c r="EA7" s="1">
        <f>Table3[[#This Row],[fract1]]/(Table3[[#This Row],[fract1]]+Table3[[#This Row],[fract2]])</f>
        <v>8.5760791124206939E-2</v>
      </c>
      <c r="EB7" s="1">
        <f>($EI$2-Table3[[#This Row],[92235]])</f>
        <v>3.6420173333333338E-4</v>
      </c>
      <c r="EC7" s="1">
        <f>Table3[[#This Row],[at cons]]*200*1.6E-19*6.022E+23</f>
        <v>7018.3130820266679</v>
      </c>
      <c r="ED7" s="1">
        <f>Table3[[#This Row],[Efis (MJ)]]/3600/24</f>
        <v>8.1230475486419776E-2</v>
      </c>
      <c r="EE7" s="1">
        <f>Table3[[#This Row],[Efis (MWj)]]/$EM$1</f>
        <v>41622.502298841857</v>
      </c>
      <c r="EF7" s="2">
        <f>Table3[[#This Row],[Efis (MWj)]]/$EM$1/1000</f>
        <v>41.622502298841859</v>
      </c>
    </row>
    <row r="8" spans="1:143" x14ac:dyDescent="0.55000000000000004">
      <c r="A8" t="s">
        <v>7</v>
      </c>
      <c r="B8" s="1">
        <v>1.676308E-15</v>
      </c>
      <c r="C8" s="1">
        <v>1.6462089999999999E-9</v>
      </c>
      <c r="D8" s="1">
        <v>4.4927479999999999E-7</v>
      </c>
      <c r="E8" s="1">
        <v>6.349555E-7</v>
      </c>
      <c r="F8" s="1">
        <v>2.8933969999999999E-7</v>
      </c>
      <c r="G8" s="1">
        <v>6.9594090000000001E-7</v>
      </c>
      <c r="H8" s="1">
        <v>2.2000339999999999E-5</v>
      </c>
      <c r="I8" s="1">
        <v>2.2791919999999999E-5</v>
      </c>
      <c r="J8" s="1">
        <v>1.7462300000000001E-5</v>
      </c>
      <c r="K8" s="1">
        <v>2.3781050000000002E-5</v>
      </c>
      <c r="L8" s="1">
        <v>2.297941E-5</v>
      </c>
      <c r="M8" s="1">
        <v>3.3008970000000002E-6</v>
      </c>
      <c r="N8" s="1">
        <v>4.4826909999999998E-6</v>
      </c>
      <c r="O8" s="1">
        <v>4.2932779999999999E-6</v>
      </c>
      <c r="P8" s="1">
        <v>1.295577E-3</v>
      </c>
      <c r="Q8" s="1">
        <v>6.6660199999999999E-6</v>
      </c>
      <c r="R8" s="1">
        <v>3.069626E-7</v>
      </c>
      <c r="S8" s="1">
        <v>1.092998E-7</v>
      </c>
      <c r="T8" s="1">
        <v>2.9568670000000002E-6</v>
      </c>
      <c r="U8" s="1">
        <v>1.9453759999999998E-6</v>
      </c>
      <c r="V8" s="1">
        <v>1.3259010000000001E-9</v>
      </c>
      <c r="W8" s="1">
        <v>1.256475E-5</v>
      </c>
      <c r="X8" s="1">
        <v>1.624632E-9</v>
      </c>
      <c r="Y8" s="1">
        <v>1.153606E-6</v>
      </c>
      <c r="Z8" s="1">
        <v>3.1125399999999999E-7</v>
      </c>
      <c r="AA8" s="1">
        <v>2.3768610000000001E-11</v>
      </c>
      <c r="AB8" s="1">
        <v>1.538086E-6</v>
      </c>
      <c r="AC8" s="1">
        <v>3.4998949999999999E-8</v>
      </c>
      <c r="AD8" s="1">
        <v>6.6465609999999996E-8</v>
      </c>
      <c r="AE8" s="1">
        <v>2.3063800000000001E-5</v>
      </c>
      <c r="AF8" s="1">
        <v>6.1143370000000004E-7</v>
      </c>
      <c r="AG8" s="1">
        <v>2.0676369999999999E-5</v>
      </c>
      <c r="AH8" s="1">
        <v>2.5837060000000001E-5</v>
      </c>
      <c r="AI8" s="1">
        <v>1.724456E-6</v>
      </c>
      <c r="AJ8" s="1">
        <v>3.638108E-13</v>
      </c>
      <c r="AK8" s="1">
        <v>1.768337E-12</v>
      </c>
      <c r="AL8" s="1">
        <v>3.8867250000000002E-3</v>
      </c>
      <c r="AM8" s="1">
        <v>3.0865199999999997E-5</v>
      </c>
      <c r="AN8" s="1">
        <v>3.5959460000000001E-9</v>
      </c>
      <c r="AO8" s="1">
        <v>5.0908729999999998E-5</v>
      </c>
      <c r="AP8" s="1">
        <v>8.513727E-6</v>
      </c>
      <c r="AQ8" s="1">
        <v>2.1777040000000001E-5</v>
      </c>
      <c r="AR8" s="1">
        <v>5.1852900000000004E-13</v>
      </c>
      <c r="AS8" s="1">
        <v>5.5225610000000003E-6</v>
      </c>
      <c r="AT8" s="1">
        <v>2.452467E-5</v>
      </c>
      <c r="AU8" s="1">
        <v>3.0042829999999999E-8</v>
      </c>
      <c r="AV8" s="1">
        <v>2.9085779999999998E-6</v>
      </c>
      <c r="AW8" s="1">
        <v>2.2656699999999999E-5</v>
      </c>
      <c r="AX8" s="1">
        <v>4.0336030000000001E-8</v>
      </c>
      <c r="AY8" s="1">
        <v>2.5689820000000001E-5</v>
      </c>
      <c r="AZ8" s="1">
        <v>4.6897239999999996E-18</v>
      </c>
      <c r="BA8" s="1">
        <v>1.4538370000000001E-12</v>
      </c>
      <c r="BB8" s="1">
        <v>2.6732920000000001E-5</v>
      </c>
      <c r="BC8" s="1">
        <v>1.054125E-5</v>
      </c>
      <c r="BD8" s="1">
        <v>4.0543790000000001E-7</v>
      </c>
      <c r="BE8" s="1">
        <v>2.3915970000000001E-8</v>
      </c>
      <c r="BF8" s="1">
        <v>2.4183159999999999E-9</v>
      </c>
      <c r="BG8" s="1">
        <v>1.8008129999999999E-13</v>
      </c>
      <c r="BH8" s="1">
        <v>4.4365389999999998E-6</v>
      </c>
      <c r="BI8" s="1">
        <v>6.7800750000000006E-8</v>
      </c>
      <c r="BJ8" s="1">
        <v>1.352247E-9</v>
      </c>
      <c r="BK8" s="1">
        <v>1.565435E-12</v>
      </c>
      <c r="BL8" s="1">
        <v>2.419214E-6</v>
      </c>
      <c r="BM8" s="1">
        <v>1.2274259999999999E-5</v>
      </c>
      <c r="BN8" s="1">
        <v>5.5199380000000001E-9</v>
      </c>
      <c r="BO8" s="1">
        <v>4.0561419999999999E-6</v>
      </c>
      <c r="BP8" s="1">
        <v>6.8015859999999998E-9</v>
      </c>
      <c r="BQ8" s="1">
        <v>2.0458429999999999E-5</v>
      </c>
      <c r="BR8" s="1">
        <v>2.007185E-5</v>
      </c>
      <c r="BS8" s="1">
        <v>1.4801949999999999E-6</v>
      </c>
      <c r="BT8" s="1">
        <v>1.564572E-4</v>
      </c>
      <c r="BU8" s="1">
        <v>9.6548590000000008E-9</v>
      </c>
      <c r="BV8" s="1">
        <v>1.7977789999999999E-7</v>
      </c>
      <c r="BW8" s="1">
        <v>6.2805960000000005E-5</v>
      </c>
      <c r="BX8" s="1">
        <v>8.9305010000000001E-8</v>
      </c>
      <c r="BY8" s="1">
        <v>1.818465E-12</v>
      </c>
      <c r="BZ8" s="1">
        <v>2.9961680000000002E-6</v>
      </c>
      <c r="CA8" s="1">
        <v>8.5594050000000001E-6</v>
      </c>
      <c r="CB8" s="1">
        <v>3.4281759999999998E-6</v>
      </c>
      <c r="CC8" s="1">
        <v>8.8858269999999998E-7</v>
      </c>
      <c r="CD8" s="1">
        <v>1.8619569999999998E-5</v>
      </c>
      <c r="CE8" s="1">
        <v>8.9685680000000004E-7</v>
      </c>
      <c r="CF8" s="1">
        <v>1.369262E-5</v>
      </c>
      <c r="CG8" s="1">
        <v>2.0215109999999999E-7</v>
      </c>
      <c r="CH8" s="1">
        <v>1.2486969999999999E-6</v>
      </c>
      <c r="CI8" s="1">
        <v>1.296967E-5</v>
      </c>
      <c r="CJ8" s="1">
        <v>9.7937909999999995E-11</v>
      </c>
      <c r="CK8" s="1">
        <v>7.5850569999999997E-10</v>
      </c>
      <c r="CL8" s="1">
        <v>6.3452389999999998E-6</v>
      </c>
      <c r="CM8" s="1">
        <v>2.765771E-9</v>
      </c>
      <c r="CN8" s="1">
        <v>7.251741E-6</v>
      </c>
      <c r="CO8" s="1">
        <v>1.070055E-5</v>
      </c>
      <c r="CP8" s="1">
        <v>8.6401910000000005E-7</v>
      </c>
      <c r="CQ8" s="1">
        <v>3.635287E-6</v>
      </c>
      <c r="CR8" s="1">
        <v>3.3575969999999999E-8</v>
      </c>
      <c r="CS8" s="1">
        <v>4.1657130000000002E-8</v>
      </c>
      <c r="CT8" s="1">
        <v>3.5387960000000002E-6</v>
      </c>
      <c r="CU8" s="1">
        <v>1.2371800000000001E-5</v>
      </c>
      <c r="CV8" s="1">
        <v>1.6136319999999999E-6</v>
      </c>
      <c r="CW8" s="1">
        <v>6.5278500000000003E-7</v>
      </c>
      <c r="CX8" s="1">
        <v>2.0937369999999998E-5</v>
      </c>
      <c r="CY8" s="1">
        <v>7.6407980000000001E-7</v>
      </c>
      <c r="CZ8" s="1">
        <v>1.486061E-6</v>
      </c>
      <c r="DA8" s="1">
        <v>3.9753440000000002E-6</v>
      </c>
      <c r="DB8" s="1">
        <v>6.7236180000000004E-6</v>
      </c>
      <c r="DC8" s="1">
        <v>3.5459219999999997E-8</v>
      </c>
      <c r="DD8" s="1">
        <v>1.4422849999999999E-6</v>
      </c>
      <c r="DE8" s="1">
        <v>1.7945620000000001E-5</v>
      </c>
      <c r="DF8" s="1">
        <v>2.3290039999999998E-5</v>
      </c>
      <c r="DG8" s="1">
        <v>2.346898E-5</v>
      </c>
      <c r="DH8" s="1">
        <v>1.4592479999999999E-7</v>
      </c>
      <c r="DI8" s="1">
        <v>1.9057799999999999E-3</v>
      </c>
      <c r="DJ8" s="1">
        <v>8.3896870000000006E-15</v>
      </c>
      <c r="DK8" s="1">
        <v>6.6557359999999998E-7</v>
      </c>
      <c r="DL8" s="1">
        <v>2.5368049999999999E-8</v>
      </c>
      <c r="DM8" s="1">
        <v>1.835351E-6</v>
      </c>
      <c r="DN8" s="1">
        <v>2.3277980000000001E-7</v>
      </c>
      <c r="DO8" s="1">
        <v>5.1606509999999997E-6</v>
      </c>
      <c r="DP8" s="1">
        <v>1.417533E-5</v>
      </c>
      <c r="DQ8" s="1">
        <v>2.4837189999999999E-5</v>
      </c>
      <c r="DR8" s="1">
        <v>2.147154E-7</v>
      </c>
      <c r="DS8" s="1">
        <v>1.508243E-5</v>
      </c>
      <c r="DT8" s="1">
        <v>1.101339E-14</v>
      </c>
      <c r="DU8" s="1">
        <v>5.7257970000000001E-9</v>
      </c>
      <c r="DV8" s="1">
        <v>3.489991E-6</v>
      </c>
      <c r="DW8" s="1">
        <v>1.5588949999999999E-5</v>
      </c>
      <c r="DX8" s="1">
        <f>SUM(Table3[[#This Row],[mat]:[60143]])</f>
        <v>8.1188652145237957E-3</v>
      </c>
      <c r="DY8" s="1">
        <f>Table3[[#This Row],[92235]]/Table3[[#This Row],[TOT]]</f>
        <v>1.9270821212811186E-2</v>
      </c>
      <c r="DZ8" s="1">
        <f>Table3[[#This Row],[92238]]/Table3[[#This Row],[TOT]]</f>
        <v>0.23473477507555612</v>
      </c>
      <c r="EA8" s="1">
        <f>Table3[[#This Row],[fract1]]/(Table3[[#This Row],[fract1]]+Table3[[#This Row],[fract2]])</f>
        <v>7.5867703288448093E-2</v>
      </c>
      <c r="EB8" s="1">
        <f>($EI$2-Table3[[#This Row],[92235]])</f>
        <v>3.874761333333334E-4</v>
      </c>
      <c r="EC8" s="1">
        <f>Table3[[#This Row],[at cons]]*200*1.6E-19*6.022E+23</f>
        <v>7466.8200797866675</v>
      </c>
      <c r="ED8" s="1">
        <f>Table3[[#This Row],[Efis (MJ)]]/3600/24</f>
        <v>8.6421528701234582E-2</v>
      </c>
      <c r="EE8" s="1">
        <f>Table3[[#This Row],[Efis (MWj)]]/$EM$1</f>
        <v>44282.398391696341</v>
      </c>
      <c r="EF8" s="2">
        <f>Table3[[#This Row],[Efis (MWj)]]/$EM$1/1000</f>
        <v>44.28239839169634</v>
      </c>
    </row>
    <row r="9" spans="1:143" x14ac:dyDescent="0.55000000000000004">
      <c r="A9" t="s">
        <v>9</v>
      </c>
      <c r="B9" s="1">
        <v>2.4023879999999999E-15</v>
      </c>
      <c r="C9" s="1">
        <v>1.618925E-9</v>
      </c>
      <c r="D9" s="1">
        <v>4.9033600000000003E-7</v>
      </c>
      <c r="E9" s="1">
        <v>7.1249730000000001E-7</v>
      </c>
      <c r="F9" s="1">
        <v>3.117766E-7</v>
      </c>
      <c r="G9" s="1">
        <v>8.4090230000000005E-7</v>
      </c>
      <c r="H9" s="1">
        <v>2.3003120000000001E-5</v>
      </c>
      <c r="I9" s="1">
        <v>2.4008739999999999E-5</v>
      </c>
      <c r="J9" s="1">
        <v>1.8854529999999999E-5</v>
      </c>
      <c r="K9" s="1">
        <v>2.5108549999999999E-5</v>
      </c>
      <c r="L9" s="1">
        <v>2.4239800000000001E-5</v>
      </c>
      <c r="M9" s="1">
        <v>2.848778E-6</v>
      </c>
      <c r="N9" s="1">
        <v>5.1243950000000001E-6</v>
      </c>
      <c r="O9" s="1">
        <v>4.6699720000000003E-6</v>
      </c>
      <c r="P9" s="1">
        <v>1.2806370000000001E-3</v>
      </c>
      <c r="Q9" s="1">
        <v>7.1958840000000004E-6</v>
      </c>
      <c r="R9" s="1">
        <v>3.3318200000000003E-7</v>
      </c>
      <c r="S9" s="1">
        <v>1.1669929999999999E-7</v>
      </c>
      <c r="T9" s="1">
        <v>3.223266E-6</v>
      </c>
      <c r="U9" s="1">
        <v>2.102032E-6</v>
      </c>
      <c r="V9" s="1">
        <v>1.445282E-9</v>
      </c>
      <c r="W9" s="1">
        <v>1.288631E-5</v>
      </c>
      <c r="X9" s="1">
        <v>1.6994400000000001E-9</v>
      </c>
      <c r="Y9" s="1">
        <v>1.294137E-6</v>
      </c>
      <c r="Z9" s="1">
        <v>3.3965769999999998E-7</v>
      </c>
      <c r="AA9" s="1">
        <v>2.972012E-11</v>
      </c>
      <c r="AB9" s="1">
        <v>1.3532569999999999E-6</v>
      </c>
      <c r="AC9" s="1">
        <v>3.2796749999999999E-8</v>
      </c>
      <c r="AD9" s="1">
        <v>6.0040979999999995E-8</v>
      </c>
      <c r="AE9" s="1">
        <v>2.4368109999999999E-5</v>
      </c>
      <c r="AF9" s="1">
        <v>5.37414E-7</v>
      </c>
      <c r="AG9" s="1">
        <v>2.2104970000000001E-5</v>
      </c>
      <c r="AH9" s="1">
        <v>2.5079570000000001E-5</v>
      </c>
      <c r="AI9" s="1">
        <v>1.9457249999999999E-6</v>
      </c>
      <c r="AJ9" s="1">
        <v>3.9771600000000001E-13</v>
      </c>
      <c r="AK9" s="1">
        <v>1.921934E-12</v>
      </c>
      <c r="AL9" s="1">
        <v>3.8419050000000001E-3</v>
      </c>
      <c r="AM9" s="1">
        <v>3.2651860000000002E-5</v>
      </c>
      <c r="AN9" s="1">
        <v>3.2995329999999998E-9</v>
      </c>
      <c r="AO9" s="1">
        <v>5.3859849999999999E-5</v>
      </c>
      <c r="AP9" s="1">
        <v>8.8962740000000004E-6</v>
      </c>
      <c r="AQ9" s="1">
        <v>2.3256180000000001E-5</v>
      </c>
      <c r="AR9" s="1">
        <v>5.6755770000000004E-13</v>
      </c>
      <c r="AS9" s="1">
        <v>5.988541E-6</v>
      </c>
      <c r="AT9" s="1">
        <v>2.5887299999999999E-5</v>
      </c>
      <c r="AU9" s="1">
        <v>3.1550600000000001E-8</v>
      </c>
      <c r="AV9" s="1">
        <v>3.1029809999999999E-6</v>
      </c>
      <c r="AW9" s="1">
        <v>2.3851329999999999E-5</v>
      </c>
      <c r="AX9" s="1">
        <v>4.1634969999999999E-8</v>
      </c>
      <c r="AY9" s="1">
        <v>2.7191430000000001E-5</v>
      </c>
      <c r="AZ9" s="1">
        <v>5.6196139999999998E-18</v>
      </c>
      <c r="BA9" s="1">
        <v>1.778872E-12</v>
      </c>
      <c r="BB9" s="1">
        <v>2.827007E-5</v>
      </c>
      <c r="BC9" s="1">
        <v>1.119124E-5</v>
      </c>
      <c r="BD9" s="1">
        <v>4.645502E-7</v>
      </c>
      <c r="BE9" s="1">
        <v>2.7400639999999999E-8</v>
      </c>
      <c r="BF9" s="1">
        <v>2.915218E-9</v>
      </c>
      <c r="BG9" s="1">
        <v>1.9600290000000001E-13</v>
      </c>
      <c r="BH9" s="1">
        <v>4.9876350000000002E-6</v>
      </c>
      <c r="BI9" s="1">
        <v>8.1320470000000001E-8</v>
      </c>
      <c r="BJ9" s="1">
        <v>1.5642190000000001E-9</v>
      </c>
      <c r="BK9" s="1">
        <v>2.0181140000000001E-12</v>
      </c>
      <c r="BL9" s="1">
        <v>2.0470390000000001E-6</v>
      </c>
      <c r="BM9" s="1">
        <v>1.314817E-5</v>
      </c>
      <c r="BN9" s="1">
        <v>5.2608240000000001E-9</v>
      </c>
      <c r="BO9" s="1">
        <v>4.1123020000000001E-6</v>
      </c>
      <c r="BP9" s="1">
        <v>6.4522599999999998E-9</v>
      </c>
      <c r="BQ9" s="1">
        <v>2.1638009999999999E-5</v>
      </c>
      <c r="BR9" s="1">
        <v>2.135503E-5</v>
      </c>
      <c r="BS9" s="1">
        <v>1.3621419999999999E-6</v>
      </c>
      <c r="BT9" s="1">
        <v>1.3385259999999999E-4</v>
      </c>
      <c r="BU9" s="1">
        <v>1.2000610000000001E-8</v>
      </c>
      <c r="BV9" s="1">
        <v>1.7930390000000001E-7</v>
      </c>
      <c r="BW9" s="1">
        <v>6.5205599999999998E-5</v>
      </c>
      <c r="BX9" s="1">
        <v>9.5000719999999995E-8</v>
      </c>
      <c r="BY9" s="1">
        <v>2.0229020000000001E-12</v>
      </c>
      <c r="BZ9" s="1">
        <v>3.183933E-6</v>
      </c>
      <c r="CA9" s="1">
        <v>8.9954129999999992E-6</v>
      </c>
      <c r="CB9" s="1">
        <v>3.6123740000000001E-6</v>
      </c>
      <c r="CC9" s="1">
        <v>8.3914679999999998E-7</v>
      </c>
      <c r="CD9" s="1">
        <v>1.950359E-5</v>
      </c>
      <c r="CE9" s="1">
        <v>9.7795229999999997E-7</v>
      </c>
      <c r="CF9" s="1">
        <v>1.4573289999999999E-5</v>
      </c>
      <c r="CG9" s="1">
        <v>1.806844E-7</v>
      </c>
      <c r="CH9" s="1">
        <v>1.410917E-6</v>
      </c>
      <c r="CI9" s="1">
        <v>1.361092E-5</v>
      </c>
      <c r="CJ9" s="1">
        <v>1.046554E-10</v>
      </c>
      <c r="CK9" s="1">
        <v>8.4343700000000001E-10</v>
      </c>
      <c r="CL9" s="1">
        <v>7.06713E-6</v>
      </c>
      <c r="CM9" s="1">
        <v>2.9103700000000002E-9</v>
      </c>
      <c r="CN9" s="1">
        <v>7.6691519999999997E-6</v>
      </c>
      <c r="CO9" s="1">
        <v>1.133342E-5</v>
      </c>
      <c r="CP9" s="1">
        <v>9.2681750000000002E-7</v>
      </c>
      <c r="CQ9" s="1">
        <v>3.6156659999999999E-6</v>
      </c>
      <c r="CR9" s="1">
        <v>3.1228969999999998E-8</v>
      </c>
      <c r="CS9" s="1">
        <v>4.0343929999999998E-8</v>
      </c>
      <c r="CT9" s="1">
        <v>3.7582010000000001E-6</v>
      </c>
      <c r="CU9" s="1">
        <v>1.3002739999999999E-5</v>
      </c>
      <c r="CV9" s="1">
        <v>1.360003E-6</v>
      </c>
      <c r="CW9" s="1">
        <v>5.8004579999999997E-7</v>
      </c>
      <c r="CX9" s="1">
        <v>2.2041920000000001E-5</v>
      </c>
      <c r="CY9" s="1">
        <v>8.0470920000000002E-7</v>
      </c>
      <c r="CZ9" s="1">
        <v>1.5412360000000001E-6</v>
      </c>
      <c r="DA9" s="1">
        <v>4.2056640000000001E-6</v>
      </c>
      <c r="DB9" s="1">
        <v>7.0678889999999996E-6</v>
      </c>
      <c r="DC9" s="1">
        <v>3.3796770000000001E-8</v>
      </c>
      <c r="DD9" s="1">
        <v>1.56232E-6</v>
      </c>
      <c r="DE9" s="1">
        <v>1.9898159999999999E-5</v>
      </c>
      <c r="DF9" s="1">
        <v>2.460835E-5</v>
      </c>
      <c r="DG9" s="1">
        <v>2.4831619999999999E-5</v>
      </c>
      <c r="DH9" s="1">
        <v>1.3260569999999999E-7</v>
      </c>
      <c r="DI9" s="1">
        <v>1.871015E-3</v>
      </c>
      <c r="DJ9" s="1">
        <v>1.079059E-14</v>
      </c>
      <c r="DK9" s="1">
        <v>7.1451300000000004E-7</v>
      </c>
      <c r="DL9" s="1">
        <v>2.4993510000000001E-8</v>
      </c>
      <c r="DM9" s="1">
        <v>1.9221280000000001E-6</v>
      </c>
      <c r="DN9" s="1">
        <v>2.3131409999999999E-7</v>
      </c>
      <c r="DO9" s="1">
        <v>5.476868E-6</v>
      </c>
      <c r="DP9" s="1">
        <v>1.522669E-5</v>
      </c>
      <c r="DQ9" s="1">
        <v>2.6241349999999999E-5</v>
      </c>
      <c r="DR9" s="1">
        <v>2.6288240000000001E-7</v>
      </c>
      <c r="DS9" s="1">
        <v>1.7319630000000001E-5</v>
      </c>
      <c r="DT9" s="1">
        <v>1.390551E-14</v>
      </c>
      <c r="DU9" s="1">
        <v>7.3657379999999996E-9</v>
      </c>
      <c r="DV9" s="1">
        <v>3.7591370000000001E-6</v>
      </c>
      <c r="DW9" s="1">
        <v>1.6246129999999999E-5</v>
      </c>
      <c r="DX9" s="1">
        <f>SUM(Table3[[#This Row],[mat]:[60143]])</f>
        <v>8.049994188971718E-3</v>
      </c>
      <c r="DY9" s="1">
        <f>Table3[[#This Row],[92235]]/Table3[[#This Row],[TOT]]</f>
        <v>1.6627664176872892E-2</v>
      </c>
      <c r="DZ9" s="1">
        <f>Table3[[#This Row],[92238]]/Table3[[#This Row],[TOT]]</f>
        <v>0.23242439138195176</v>
      </c>
      <c r="EA9" s="1">
        <f>Table3[[#This Row],[fract1]]/(Table3[[#This Row],[fract1]]+Table3[[#This Row],[fract2]])</f>
        <v>6.6763810238641197E-2</v>
      </c>
      <c r="EB9" s="1">
        <f>($EI$2-Table3[[#This Row],[92235]])</f>
        <v>4.1008073333333341E-4</v>
      </c>
      <c r="EC9" s="1">
        <f>Table3[[#This Row],[at cons]]*200*1.6E-19*6.022E+23</f>
        <v>7902.4197636266672</v>
      </c>
      <c r="ED9" s="1">
        <f>Table3[[#This Row],[Efis (MJ)]]/3600/24</f>
        <v>9.1463191708641978E-2</v>
      </c>
      <c r="EE9" s="1">
        <f>Table3[[#This Row],[Efis (MWj)]]/$EM$1</f>
        <v>46865.746930027657</v>
      </c>
      <c r="EF9" s="2">
        <f>Table3[[#This Row],[Efis (MWj)]]/$EM$1/1000</f>
        <v>46.865746930027655</v>
      </c>
    </row>
    <row r="10" spans="1:143" x14ac:dyDescent="0.55000000000000004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43" x14ac:dyDescent="0.55000000000000004">
      <c r="B11" s="1"/>
      <c r="C11" s="1"/>
      <c r="D11" s="1"/>
      <c r="E11" s="1"/>
      <c r="F11" s="1"/>
      <c r="G11" s="1"/>
      <c r="H11" s="1"/>
      <c r="I11" s="1"/>
    </row>
    <row r="12" spans="1:143" x14ac:dyDescent="0.55000000000000004">
      <c r="B12" s="1"/>
      <c r="C12" s="1"/>
      <c r="D12" s="1"/>
      <c r="E12" s="1"/>
      <c r="F12" s="1"/>
      <c r="G12" s="1"/>
      <c r="H12" s="1"/>
      <c r="I12" s="1"/>
    </row>
    <row r="13" spans="1:143" x14ac:dyDescent="0.55000000000000004">
      <c r="B13" s="1"/>
      <c r="C13" s="1"/>
      <c r="D13" s="1"/>
      <c r="E13" s="1"/>
      <c r="F13" s="1"/>
      <c r="G13" s="1"/>
      <c r="H13" s="1"/>
      <c r="I13" s="1"/>
    </row>
    <row r="14" spans="1:143" x14ac:dyDescent="0.55000000000000004">
      <c r="B14" s="1"/>
      <c r="C14" s="1"/>
      <c r="D14" s="1"/>
      <c r="E14" s="1"/>
      <c r="F14" s="1"/>
      <c r="G14" s="1"/>
      <c r="H14" s="1"/>
      <c r="I14" s="1"/>
      <c r="DZ14" s="1"/>
    </row>
    <row r="15" spans="1:143" x14ac:dyDescent="0.55000000000000004">
      <c r="B15" s="1"/>
      <c r="C15" s="1"/>
      <c r="D15" s="1"/>
      <c r="E15" s="1"/>
      <c r="F15" s="1"/>
      <c r="G15" s="1"/>
      <c r="H15" s="1"/>
      <c r="I15" s="1"/>
      <c r="DZ15" s="1"/>
    </row>
    <row r="16" spans="1:143" x14ac:dyDescent="0.55000000000000004">
      <c r="B16" s="1"/>
      <c r="C16" s="1"/>
      <c r="D16" s="1"/>
      <c r="E16" s="1"/>
      <c r="F16" s="1"/>
      <c r="G16" s="1"/>
      <c r="H16" s="1"/>
      <c r="I16" s="1"/>
    </row>
    <row r="17" spans="2:9" x14ac:dyDescent="0.55000000000000004">
      <c r="B17" s="1"/>
      <c r="C17" s="1"/>
      <c r="D17" s="1"/>
      <c r="E17" s="1"/>
      <c r="F17" s="1"/>
      <c r="G17" s="1"/>
      <c r="H17" s="1"/>
      <c r="I17" s="1"/>
    </row>
    <row r="18" spans="2:9" x14ac:dyDescent="0.55000000000000004">
      <c r="B18" s="1"/>
      <c r="C18" s="1"/>
      <c r="D18" s="1"/>
      <c r="E18" s="1"/>
      <c r="F18" s="1"/>
      <c r="G18" s="1"/>
      <c r="H18" s="1"/>
      <c r="I18" s="1"/>
    </row>
    <row r="19" spans="2:9" x14ac:dyDescent="0.55000000000000004">
      <c r="B19" s="1"/>
      <c r="C19" s="1"/>
      <c r="D19" s="1"/>
      <c r="E19" s="1"/>
      <c r="F19" s="1"/>
      <c r="G19" s="1"/>
      <c r="H19" s="1"/>
      <c r="I19" s="1"/>
    </row>
    <row r="20" spans="2:9" x14ac:dyDescent="0.55000000000000004">
      <c r="B20" s="1"/>
      <c r="C20" s="1"/>
      <c r="D20" s="1"/>
      <c r="E20" s="1"/>
      <c r="F20" s="1"/>
      <c r="G20" s="1"/>
      <c r="H20" s="1"/>
      <c r="I20" s="1"/>
    </row>
    <row r="21" spans="2:9" x14ac:dyDescent="0.55000000000000004">
      <c r="B21" s="1"/>
      <c r="C21" s="1"/>
      <c r="D21" s="1"/>
      <c r="E21" s="1"/>
      <c r="F21" s="1"/>
      <c r="G21" s="1"/>
      <c r="H21" s="1"/>
      <c r="I21" s="1"/>
    </row>
    <row r="22" spans="2:9" x14ac:dyDescent="0.55000000000000004">
      <c r="B22" s="1"/>
      <c r="C22" s="1"/>
      <c r="D22" s="1"/>
      <c r="E22" s="1"/>
      <c r="F22" s="1"/>
      <c r="G22" s="1"/>
      <c r="H22" s="1"/>
      <c r="I22" s="1"/>
    </row>
    <row r="23" spans="2:9" x14ac:dyDescent="0.55000000000000004">
      <c r="B23" s="1"/>
      <c r="C23" s="1"/>
      <c r="D23" s="1"/>
      <c r="E23" s="1"/>
      <c r="F23" s="1"/>
      <c r="G23" s="1"/>
      <c r="H23" s="1"/>
      <c r="I23" s="1"/>
    </row>
    <row r="24" spans="2:9" x14ac:dyDescent="0.55000000000000004">
      <c r="B24" s="1"/>
      <c r="C24" s="1"/>
      <c r="D24" s="1"/>
      <c r="E24" s="1"/>
      <c r="F24" s="1"/>
      <c r="G24" s="1"/>
      <c r="H24" s="1"/>
      <c r="I24" s="1"/>
    </row>
    <row r="25" spans="2:9" x14ac:dyDescent="0.55000000000000004">
      <c r="B25" s="1"/>
      <c r="C25" s="1"/>
      <c r="D25" s="1"/>
      <c r="E25" s="1"/>
      <c r="F25" s="1"/>
      <c r="G25" s="1"/>
      <c r="H25" s="1"/>
      <c r="I25" s="1"/>
    </row>
    <row r="26" spans="2:9" x14ac:dyDescent="0.55000000000000004">
      <c r="B26" s="1"/>
      <c r="C26" s="1"/>
      <c r="D26" s="1"/>
      <c r="E26" s="1"/>
      <c r="F26" s="1"/>
      <c r="G26" s="1"/>
      <c r="H26" s="1"/>
      <c r="I26" s="1"/>
    </row>
    <row r="27" spans="2:9" x14ac:dyDescent="0.55000000000000004">
      <c r="B27" s="1"/>
      <c r="C27" s="1"/>
      <c r="D27" s="1"/>
      <c r="E27" s="1"/>
      <c r="F27" s="1"/>
      <c r="G27" s="1"/>
      <c r="H27" s="1"/>
      <c r="I27" s="1"/>
    </row>
    <row r="28" spans="2:9" x14ac:dyDescent="0.55000000000000004">
      <c r="B28" s="1"/>
      <c r="C28" s="1"/>
      <c r="D28" s="1"/>
      <c r="E28" s="1"/>
      <c r="F28" s="1"/>
      <c r="G28" s="1"/>
      <c r="H28" s="1"/>
      <c r="I28" s="1"/>
    </row>
    <row r="29" spans="2:9" x14ac:dyDescent="0.55000000000000004">
      <c r="B29" s="1"/>
      <c r="C29" s="1"/>
      <c r="D29" s="1"/>
      <c r="E29" s="1"/>
      <c r="F29" s="1"/>
      <c r="G29" s="1"/>
      <c r="H29" s="1"/>
      <c r="I29" s="1"/>
    </row>
    <row r="30" spans="2:9" x14ac:dyDescent="0.55000000000000004">
      <c r="B30" s="1"/>
      <c r="C30" s="1"/>
      <c r="D30" s="1"/>
      <c r="E30" s="1"/>
      <c r="F30" s="1"/>
      <c r="G30" s="1"/>
      <c r="H30" s="1"/>
      <c r="I30" s="1"/>
    </row>
    <row r="31" spans="2:9" x14ac:dyDescent="0.55000000000000004">
      <c r="B31" s="1"/>
      <c r="C31" s="1"/>
      <c r="D31" s="1"/>
      <c r="E31" s="1"/>
      <c r="F31" s="1"/>
      <c r="G31" s="1"/>
      <c r="H31" s="1"/>
      <c r="I31" s="1"/>
    </row>
    <row r="32" spans="2:9" x14ac:dyDescent="0.55000000000000004">
      <c r="B32" s="1"/>
      <c r="C32" s="1"/>
      <c r="D32" s="1"/>
      <c r="E32" s="1"/>
      <c r="F32" s="1"/>
      <c r="G32" s="1"/>
      <c r="H32" s="1"/>
      <c r="I32" s="1"/>
    </row>
    <row r="33" spans="2:9" x14ac:dyDescent="0.55000000000000004">
      <c r="B33" s="1"/>
      <c r="C33" s="1"/>
      <c r="D33" s="1"/>
      <c r="E33" s="1"/>
      <c r="F33" s="1"/>
      <c r="G33" s="1"/>
      <c r="H33" s="1"/>
      <c r="I33" s="1"/>
    </row>
    <row r="34" spans="2:9" x14ac:dyDescent="0.55000000000000004">
      <c r="B34" s="1"/>
      <c r="C34" s="1"/>
      <c r="D34" s="1"/>
      <c r="E34" s="1"/>
      <c r="F34" s="1"/>
      <c r="G34" s="1"/>
      <c r="H34" s="1"/>
      <c r="I34" s="1"/>
    </row>
    <row r="35" spans="2:9" x14ac:dyDescent="0.55000000000000004">
      <c r="B35" s="1"/>
      <c r="C35" s="1"/>
      <c r="D35" s="1"/>
      <c r="E35" s="1"/>
      <c r="F35" s="1"/>
      <c r="G35" s="1"/>
      <c r="H35" s="1"/>
      <c r="I35" s="1"/>
    </row>
    <row r="36" spans="2:9" x14ac:dyDescent="0.55000000000000004">
      <c r="B36" s="1"/>
      <c r="C36" s="1"/>
      <c r="D36" s="1"/>
      <c r="E36" s="1"/>
      <c r="F36" s="1"/>
      <c r="G36" s="1"/>
      <c r="H36" s="1"/>
      <c r="I36" s="1"/>
    </row>
    <row r="37" spans="2:9" x14ac:dyDescent="0.55000000000000004">
      <c r="B37" s="1"/>
      <c r="C37" s="1"/>
      <c r="D37" s="1"/>
      <c r="E37" s="1"/>
      <c r="F37" s="1"/>
      <c r="G37" s="1"/>
      <c r="H37" s="1"/>
      <c r="I37" s="1"/>
    </row>
    <row r="38" spans="2:9" x14ac:dyDescent="0.55000000000000004">
      <c r="B38" s="1"/>
      <c r="C38" s="1"/>
      <c r="D38" s="1"/>
      <c r="E38" s="1"/>
      <c r="F38" s="1"/>
      <c r="G38" s="1"/>
      <c r="H38" s="1"/>
      <c r="I38" s="1"/>
    </row>
    <row r="39" spans="2:9" x14ac:dyDescent="0.55000000000000004">
      <c r="B39" s="1"/>
      <c r="C39" s="1"/>
      <c r="D39" s="1"/>
      <c r="E39" s="1"/>
      <c r="F39" s="1"/>
      <c r="G39" s="1"/>
      <c r="H39" s="1"/>
      <c r="I39" s="1"/>
    </row>
    <row r="40" spans="2:9" x14ac:dyDescent="0.55000000000000004">
      <c r="B40" s="1"/>
      <c r="C40" s="1"/>
      <c r="D40" s="1"/>
      <c r="E40" s="1"/>
      <c r="F40" s="1"/>
      <c r="G40" s="1"/>
      <c r="H40" s="1"/>
      <c r="I40" s="1"/>
    </row>
    <row r="41" spans="2:9" x14ac:dyDescent="0.55000000000000004">
      <c r="B41" s="1"/>
      <c r="C41" s="1"/>
      <c r="D41" s="1"/>
      <c r="E41" s="1"/>
      <c r="F41" s="1"/>
      <c r="G41" s="1"/>
      <c r="H41" s="1"/>
      <c r="I41" s="1"/>
    </row>
    <row r="42" spans="2:9" x14ac:dyDescent="0.55000000000000004">
      <c r="B42" s="1"/>
      <c r="C42" s="1"/>
      <c r="D42" s="1"/>
      <c r="E42" s="1"/>
      <c r="F42" s="1"/>
      <c r="G42" s="1"/>
      <c r="H42" s="1"/>
      <c r="I42" s="1"/>
    </row>
    <row r="43" spans="2:9" x14ac:dyDescent="0.55000000000000004">
      <c r="B43" s="1"/>
      <c r="C43" s="1"/>
      <c r="D43" s="1"/>
      <c r="E43" s="1"/>
      <c r="F43" s="1"/>
      <c r="G43" s="1"/>
      <c r="H43" s="1"/>
      <c r="I43" s="1"/>
    </row>
    <row r="44" spans="2:9" x14ac:dyDescent="0.55000000000000004">
      <c r="B44" s="1"/>
      <c r="C44" s="1"/>
      <c r="D44" s="1"/>
      <c r="E44" s="1"/>
      <c r="F44" s="1"/>
      <c r="G44" s="1"/>
      <c r="H44" s="1"/>
      <c r="I44" s="1"/>
    </row>
    <row r="45" spans="2:9" x14ac:dyDescent="0.55000000000000004">
      <c r="B45" s="1"/>
      <c r="C45" s="1"/>
      <c r="D45" s="1"/>
      <c r="E45" s="1"/>
      <c r="F45" s="1"/>
      <c r="G45" s="1"/>
      <c r="H45" s="1"/>
      <c r="I45" s="1"/>
    </row>
    <row r="46" spans="2:9" x14ac:dyDescent="0.55000000000000004">
      <c r="B46" s="1"/>
      <c r="C46" s="1"/>
      <c r="D46" s="1"/>
      <c r="E46" s="1"/>
      <c r="F46" s="1"/>
      <c r="G46" s="1"/>
      <c r="H46" s="1"/>
      <c r="I46" s="1"/>
    </row>
    <row r="47" spans="2:9" x14ac:dyDescent="0.55000000000000004">
      <c r="B47" s="1"/>
      <c r="C47" s="1"/>
      <c r="D47" s="1"/>
      <c r="E47" s="1"/>
      <c r="F47" s="1"/>
      <c r="G47" s="1"/>
      <c r="H47" s="1"/>
      <c r="I47" s="1"/>
    </row>
    <row r="48" spans="2:9" x14ac:dyDescent="0.55000000000000004">
      <c r="B48" s="1"/>
      <c r="C48" s="1"/>
      <c r="D48" s="1"/>
      <c r="E48" s="1"/>
      <c r="F48" s="1"/>
      <c r="G48" s="1"/>
      <c r="H48" s="1"/>
      <c r="I48" s="1"/>
    </row>
    <row r="49" spans="2:9" x14ac:dyDescent="0.55000000000000004">
      <c r="B49" s="1"/>
      <c r="C49" s="1"/>
      <c r="D49" s="1"/>
      <c r="E49" s="1"/>
      <c r="F49" s="1"/>
      <c r="G49" s="1"/>
      <c r="H49" s="1"/>
      <c r="I49" s="1"/>
    </row>
    <row r="50" spans="2:9" x14ac:dyDescent="0.55000000000000004">
      <c r="B50" s="1"/>
      <c r="C50" s="1"/>
      <c r="D50" s="1"/>
      <c r="E50" s="1"/>
      <c r="F50" s="1"/>
      <c r="G50" s="1"/>
      <c r="H50" s="1"/>
      <c r="I50" s="1"/>
    </row>
    <row r="51" spans="2:9" x14ac:dyDescent="0.55000000000000004">
      <c r="B51" s="1"/>
      <c r="C51" s="1"/>
      <c r="D51" s="1"/>
      <c r="E51" s="1"/>
      <c r="F51" s="1"/>
      <c r="G51" s="1"/>
      <c r="H51" s="1"/>
      <c r="I51" s="1"/>
    </row>
    <row r="52" spans="2:9" x14ac:dyDescent="0.55000000000000004">
      <c r="B52" s="1"/>
      <c r="C52" s="1"/>
      <c r="D52" s="1"/>
      <c r="E52" s="1"/>
      <c r="F52" s="1"/>
      <c r="G52" s="1"/>
      <c r="H52" s="1"/>
      <c r="I52" s="1"/>
    </row>
    <row r="53" spans="2:9" x14ac:dyDescent="0.55000000000000004">
      <c r="B53" s="1"/>
      <c r="C53" s="1"/>
      <c r="D53" s="1"/>
      <c r="E53" s="1"/>
      <c r="F53" s="1"/>
      <c r="G53" s="1"/>
      <c r="H53" s="1"/>
      <c r="I53" s="1"/>
    </row>
    <row r="54" spans="2:9" x14ac:dyDescent="0.55000000000000004">
      <c r="B54" s="1"/>
      <c r="C54" s="1"/>
      <c r="D54" s="1"/>
      <c r="E54" s="1"/>
      <c r="F54" s="1"/>
      <c r="G54" s="1"/>
      <c r="H54" s="1"/>
      <c r="I54" s="1"/>
    </row>
    <row r="55" spans="2:9" x14ac:dyDescent="0.55000000000000004">
      <c r="B55" s="1"/>
      <c r="C55" s="1"/>
      <c r="D55" s="1"/>
      <c r="E55" s="1"/>
      <c r="F55" s="1"/>
      <c r="G55" s="1"/>
      <c r="H55" s="1"/>
      <c r="I55" s="1"/>
    </row>
    <row r="56" spans="2:9" x14ac:dyDescent="0.55000000000000004">
      <c r="B56" s="1"/>
      <c r="C56" s="1"/>
      <c r="D56" s="1"/>
      <c r="E56" s="1"/>
      <c r="F56" s="1"/>
      <c r="G56" s="1"/>
      <c r="H56" s="1"/>
      <c r="I56" s="1"/>
    </row>
    <row r="57" spans="2:9" x14ac:dyDescent="0.55000000000000004">
      <c r="B57" s="1"/>
      <c r="C57" s="1"/>
      <c r="D57" s="1"/>
      <c r="E57" s="1"/>
      <c r="F57" s="1"/>
      <c r="G57" s="1"/>
      <c r="H57" s="1"/>
      <c r="I57" s="1"/>
    </row>
    <row r="58" spans="2:9" x14ac:dyDescent="0.55000000000000004">
      <c r="B58" s="1"/>
      <c r="C58" s="1"/>
      <c r="D58" s="1"/>
      <c r="E58" s="1"/>
      <c r="F58" s="1"/>
      <c r="G58" s="1"/>
      <c r="H58" s="1"/>
      <c r="I58" s="1"/>
    </row>
    <row r="59" spans="2:9" x14ac:dyDescent="0.55000000000000004">
      <c r="B59" s="1"/>
      <c r="C59" s="1"/>
      <c r="D59" s="1"/>
      <c r="E59" s="1"/>
      <c r="F59" s="1"/>
      <c r="G59" s="1"/>
      <c r="H59" s="1"/>
      <c r="I59" s="1"/>
    </row>
    <row r="60" spans="2:9" x14ac:dyDescent="0.55000000000000004">
      <c r="B60" s="1"/>
      <c r="C60" s="1"/>
      <c r="D60" s="1"/>
      <c r="E60" s="1"/>
      <c r="F60" s="1"/>
      <c r="G60" s="1"/>
      <c r="H60" s="1"/>
      <c r="I60" s="1"/>
    </row>
    <row r="61" spans="2:9" x14ac:dyDescent="0.55000000000000004">
      <c r="B61" s="1"/>
      <c r="C61" s="1"/>
      <c r="D61" s="1"/>
      <c r="E61" s="1"/>
      <c r="F61" s="1"/>
      <c r="G61" s="1"/>
      <c r="H61" s="1"/>
      <c r="I61" s="1"/>
    </row>
    <row r="62" spans="2:9" x14ac:dyDescent="0.55000000000000004">
      <c r="B62" s="1"/>
      <c r="C62" s="1"/>
      <c r="D62" s="1"/>
      <c r="E62" s="1"/>
      <c r="F62" s="1"/>
      <c r="G62" s="1"/>
      <c r="H62" s="1"/>
      <c r="I62" s="1"/>
    </row>
    <row r="63" spans="2:9" x14ac:dyDescent="0.55000000000000004">
      <c r="B63" s="1"/>
      <c r="C63" s="1"/>
      <c r="D63" s="1"/>
      <c r="E63" s="1"/>
      <c r="F63" s="1"/>
      <c r="G63" s="1"/>
      <c r="H63" s="1"/>
      <c r="I63" s="1"/>
    </row>
    <row r="64" spans="2:9" x14ac:dyDescent="0.55000000000000004">
      <c r="B64" s="1"/>
      <c r="C64" s="1"/>
      <c r="D64" s="1"/>
      <c r="E64" s="1"/>
      <c r="F64" s="1"/>
      <c r="G64" s="1"/>
      <c r="H64" s="1"/>
      <c r="I64" s="1"/>
    </row>
    <row r="65" spans="2:9" x14ac:dyDescent="0.55000000000000004">
      <c r="B65" s="1"/>
      <c r="C65" s="1"/>
      <c r="D65" s="1"/>
      <c r="E65" s="1"/>
      <c r="F65" s="1"/>
      <c r="G65" s="1"/>
      <c r="H65" s="1"/>
      <c r="I65" s="1"/>
    </row>
    <row r="66" spans="2:9" x14ac:dyDescent="0.55000000000000004">
      <c r="B66" s="1"/>
      <c r="C66" s="1"/>
      <c r="D66" s="1"/>
      <c r="E66" s="1"/>
      <c r="F66" s="1"/>
      <c r="G66" s="1"/>
      <c r="H66" s="1"/>
      <c r="I66" s="1"/>
    </row>
    <row r="67" spans="2:9" x14ac:dyDescent="0.55000000000000004">
      <c r="B67" s="1"/>
      <c r="C67" s="1"/>
      <c r="D67" s="1"/>
      <c r="E67" s="1"/>
      <c r="F67" s="1"/>
      <c r="G67" s="1"/>
      <c r="H67" s="1"/>
      <c r="I67" s="1"/>
    </row>
    <row r="68" spans="2:9" x14ac:dyDescent="0.55000000000000004">
      <c r="B68" s="1"/>
      <c r="C68" s="1"/>
      <c r="D68" s="1"/>
      <c r="E68" s="1"/>
      <c r="F68" s="1"/>
      <c r="G68" s="1"/>
      <c r="H68" s="1"/>
      <c r="I68" s="1"/>
    </row>
    <row r="69" spans="2:9" x14ac:dyDescent="0.55000000000000004">
      <c r="B69" s="1"/>
      <c r="C69" s="1"/>
      <c r="D69" s="1"/>
      <c r="E69" s="1"/>
      <c r="F69" s="1"/>
      <c r="G69" s="1"/>
      <c r="H69" s="1"/>
      <c r="I69" s="1"/>
    </row>
    <row r="70" spans="2:9" x14ac:dyDescent="0.55000000000000004">
      <c r="B70" s="1"/>
      <c r="C70" s="1"/>
      <c r="D70" s="1"/>
      <c r="E70" s="1"/>
      <c r="F70" s="1"/>
      <c r="G70" s="1"/>
      <c r="H70" s="1"/>
      <c r="I70" s="1"/>
    </row>
    <row r="71" spans="2:9" x14ac:dyDescent="0.55000000000000004">
      <c r="B71" s="1"/>
      <c r="C71" s="1"/>
      <c r="D71" s="1"/>
      <c r="E71" s="1"/>
      <c r="F71" s="1"/>
      <c r="G71" s="1"/>
      <c r="H71" s="1"/>
      <c r="I71" s="1"/>
    </row>
    <row r="72" spans="2:9" x14ac:dyDescent="0.55000000000000004">
      <c r="B72" s="1"/>
      <c r="C72" s="1"/>
      <c r="D72" s="1"/>
      <c r="E72" s="1"/>
      <c r="F72" s="1"/>
      <c r="G72" s="1"/>
      <c r="H72" s="1"/>
      <c r="I72" s="1"/>
    </row>
    <row r="73" spans="2:9" x14ac:dyDescent="0.55000000000000004">
      <c r="B73" s="1"/>
      <c r="C73" s="1"/>
      <c r="D73" s="1"/>
      <c r="E73" s="1"/>
      <c r="F73" s="1"/>
      <c r="G73" s="1"/>
      <c r="H73" s="1"/>
      <c r="I73" s="1"/>
    </row>
    <row r="74" spans="2:9" x14ac:dyDescent="0.55000000000000004">
      <c r="B74" s="1"/>
      <c r="C74" s="1"/>
      <c r="D74" s="1"/>
      <c r="E74" s="1"/>
      <c r="F74" s="1"/>
      <c r="G74" s="1"/>
      <c r="H74" s="1"/>
      <c r="I74" s="1"/>
    </row>
    <row r="75" spans="2:9" x14ac:dyDescent="0.55000000000000004">
      <c r="B75" s="1"/>
      <c r="C75" s="1"/>
      <c r="D75" s="1"/>
      <c r="E75" s="1"/>
      <c r="F75" s="1"/>
      <c r="G75" s="1"/>
      <c r="H75" s="1"/>
      <c r="I75" s="1"/>
    </row>
    <row r="76" spans="2:9" x14ac:dyDescent="0.55000000000000004">
      <c r="B76" s="1"/>
      <c r="C76" s="1"/>
      <c r="D76" s="1"/>
      <c r="E76" s="1"/>
      <c r="F76" s="1"/>
      <c r="G76" s="1"/>
      <c r="H76" s="1"/>
      <c r="I76" s="1"/>
    </row>
    <row r="77" spans="2:9" x14ac:dyDescent="0.55000000000000004">
      <c r="B77" s="1"/>
      <c r="C77" s="1"/>
      <c r="D77" s="1"/>
      <c r="E77" s="1"/>
      <c r="F77" s="1"/>
      <c r="G77" s="1"/>
      <c r="H77" s="1"/>
      <c r="I77" s="1"/>
    </row>
    <row r="78" spans="2:9" x14ac:dyDescent="0.55000000000000004">
      <c r="B78" s="1"/>
      <c r="C78" s="1"/>
      <c r="D78" s="1"/>
      <c r="E78" s="1"/>
      <c r="F78" s="1"/>
      <c r="G78" s="1"/>
      <c r="H78" s="1"/>
      <c r="I78" s="1"/>
    </row>
    <row r="79" spans="2:9" x14ac:dyDescent="0.55000000000000004">
      <c r="B79" s="1"/>
      <c r="C79" s="1"/>
      <c r="D79" s="1"/>
      <c r="E79" s="1"/>
      <c r="F79" s="1"/>
      <c r="G79" s="1"/>
      <c r="H79" s="1"/>
      <c r="I79" s="1"/>
    </row>
    <row r="80" spans="2:9" x14ac:dyDescent="0.55000000000000004">
      <c r="B80" s="1"/>
      <c r="C80" s="1"/>
      <c r="D80" s="1"/>
      <c r="E80" s="1"/>
      <c r="F80" s="1"/>
      <c r="G80" s="1"/>
      <c r="H80" s="1"/>
      <c r="I80" s="1"/>
    </row>
    <row r="81" spans="2:9" x14ac:dyDescent="0.55000000000000004">
      <c r="B81" s="1"/>
      <c r="C81" s="1"/>
      <c r="D81" s="1"/>
      <c r="E81" s="1"/>
      <c r="F81" s="1"/>
      <c r="G81" s="1"/>
      <c r="H81" s="1"/>
      <c r="I81" s="1"/>
    </row>
    <row r="82" spans="2:9" x14ac:dyDescent="0.55000000000000004">
      <c r="B82" s="1"/>
      <c r="C82" s="1"/>
      <c r="D82" s="1"/>
      <c r="E82" s="1"/>
      <c r="F82" s="1"/>
      <c r="G82" s="1"/>
      <c r="H82" s="1"/>
      <c r="I82" s="1"/>
    </row>
    <row r="83" spans="2:9" x14ac:dyDescent="0.55000000000000004">
      <c r="B83" s="1"/>
      <c r="C83" s="1"/>
      <c r="D83" s="1"/>
      <c r="E83" s="1"/>
      <c r="F83" s="1"/>
      <c r="G83" s="1"/>
      <c r="H83" s="1"/>
      <c r="I83" s="1"/>
    </row>
    <row r="84" spans="2:9" x14ac:dyDescent="0.55000000000000004">
      <c r="B84" s="1"/>
      <c r="C84" s="1"/>
      <c r="D84" s="1"/>
      <c r="E84" s="1"/>
      <c r="F84" s="1"/>
      <c r="G84" s="1"/>
      <c r="H84" s="1"/>
      <c r="I84" s="1"/>
    </row>
    <row r="85" spans="2:9" x14ac:dyDescent="0.55000000000000004">
      <c r="B85" s="1"/>
      <c r="C85" s="1"/>
      <c r="D85" s="1"/>
      <c r="E85" s="1"/>
      <c r="F85" s="1"/>
      <c r="G85" s="1"/>
      <c r="H85" s="1"/>
      <c r="I85" s="1"/>
    </row>
    <row r="86" spans="2:9" x14ac:dyDescent="0.55000000000000004">
      <c r="B86" s="1"/>
      <c r="C86" s="1"/>
      <c r="D86" s="1"/>
      <c r="E86" s="1"/>
      <c r="F86" s="1"/>
      <c r="G86" s="1"/>
      <c r="H86" s="1"/>
      <c r="I86" s="1"/>
    </row>
    <row r="87" spans="2:9" x14ac:dyDescent="0.55000000000000004">
      <c r="B87" s="1"/>
      <c r="C87" s="1"/>
      <c r="D87" s="1"/>
      <c r="E87" s="1"/>
      <c r="F87" s="1"/>
      <c r="G87" s="1"/>
      <c r="H87" s="1"/>
      <c r="I87" s="1"/>
    </row>
    <row r="88" spans="2:9" x14ac:dyDescent="0.55000000000000004">
      <c r="B88" s="1"/>
      <c r="C88" s="1"/>
      <c r="D88" s="1"/>
      <c r="E88" s="1"/>
      <c r="F88" s="1"/>
      <c r="G88" s="1"/>
      <c r="H88" s="1"/>
      <c r="I88" s="1"/>
    </row>
    <row r="89" spans="2:9" x14ac:dyDescent="0.55000000000000004">
      <c r="B89" s="1"/>
      <c r="C89" s="1"/>
      <c r="D89" s="1"/>
      <c r="E89" s="1"/>
      <c r="F89" s="1"/>
      <c r="G89" s="1"/>
      <c r="H89" s="1"/>
      <c r="I89" s="1"/>
    </row>
    <row r="90" spans="2:9" x14ac:dyDescent="0.55000000000000004">
      <c r="B90" s="1"/>
      <c r="C90" s="1"/>
      <c r="D90" s="1"/>
      <c r="E90" s="1"/>
      <c r="F90" s="1"/>
      <c r="G90" s="1"/>
      <c r="H90" s="1"/>
      <c r="I90" s="1"/>
    </row>
    <row r="91" spans="2:9" x14ac:dyDescent="0.55000000000000004">
      <c r="B91" s="1"/>
      <c r="C91" s="1"/>
      <c r="D91" s="1"/>
      <c r="E91" s="1"/>
      <c r="F91" s="1"/>
      <c r="G91" s="1"/>
      <c r="H91" s="1"/>
      <c r="I91" s="1"/>
    </row>
    <row r="92" spans="2:9" x14ac:dyDescent="0.55000000000000004">
      <c r="B92" s="1"/>
      <c r="C92" s="1"/>
      <c r="D92" s="1"/>
      <c r="E92" s="1"/>
      <c r="F92" s="1"/>
      <c r="G92" s="1"/>
      <c r="H92" s="1"/>
      <c r="I92" s="1"/>
    </row>
    <row r="93" spans="2:9" x14ac:dyDescent="0.55000000000000004">
      <c r="B93" s="1"/>
      <c r="C93" s="1"/>
      <c r="D93" s="1"/>
      <c r="E93" s="1"/>
      <c r="F93" s="1"/>
      <c r="G93" s="1"/>
      <c r="H93" s="1"/>
      <c r="I93" s="1"/>
    </row>
    <row r="94" spans="2:9" x14ac:dyDescent="0.55000000000000004">
      <c r="B94" s="1"/>
      <c r="C94" s="1"/>
      <c r="D94" s="1"/>
      <c r="E94" s="1"/>
      <c r="F94" s="1"/>
      <c r="G94" s="1"/>
      <c r="H94" s="1"/>
      <c r="I94" s="1"/>
    </row>
    <row r="95" spans="2:9" x14ac:dyDescent="0.55000000000000004">
      <c r="B95" s="1"/>
      <c r="C95" s="1"/>
      <c r="D95" s="1"/>
      <c r="E95" s="1"/>
      <c r="F95" s="1"/>
      <c r="G95" s="1"/>
      <c r="H95" s="1"/>
      <c r="I95" s="1"/>
    </row>
    <row r="96" spans="2:9" x14ac:dyDescent="0.55000000000000004">
      <c r="B96" s="1"/>
      <c r="C96" s="1"/>
      <c r="D96" s="1"/>
      <c r="E96" s="1"/>
      <c r="F96" s="1"/>
      <c r="G96" s="1"/>
      <c r="H96" s="1"/>
      <c r="I96" s="1"/>
    </row>
    <row r="97" spans="2:9" x14ac:dyDescent="0.55000000000000004">
      <c r="B97" s="1"/>
      <c r="C97" s="1"/>
      <c r="D97" s="1"/>
      <c r="E97" s="1"/>
      <c r="F97" s="1"/>
      <c r="G97" s="1"/>
      <c r="H97" s="1"/>
      <c r="I97" s="1"/>
    </row>
    <row r="98" spans="2:9" x14ac:dyDescent="0.55000000000000004">
      <c r="B98" s="1"/>
      <c r="C98" s="1"/>
      <c r="D98" s="1"/>
      <c r="E98" s="1"/>
      <c r="F98" s="1"/>
      <c r="G98" s="1"/>
      <c r="H98" s="1"/>
      <c r="I98" s="1"/>
    </row>
    <row r="99" spans="2:9" x14ac:dyDescent="0.55000000000000004">
      <c r="B99" s="1"/>
      <c r="C99" s="1"/>
      <c r="D99" s="1"/>
      <c r="E99" s="1"/>
      <c r="F99" s="1"/>
      <c r="G99" s="1"/>
      <c r="H99" s="1"/>
      <c r="I99" s="1"/>
    </row>
    <row r="100" spans="2:9" x14ac:dyDescent="0.55000000000000004">
      <c r="B100" s="1"/>
      <c r="C100" s="1"/>
      <c r="D100" s="1"/>
      <c r="E100" s="1"/>
      <c r="F100" s="1"/>
      <c r="G100" s="1"/>
      <c r="H100" s="1"/>
      <c r="I100" s="1"/>
    </row>
    <row r="101" spans="2:9" x14ac:dyDescent="0.55000000000000004">
      <c r="B101" s="1"/>
      <c r="C101" s="1"/>
      <c r="D101" s="1"/>
      <c r="E101" s="1"/>
      <c r="F101" s="1"/>
      <c r="G101" s="1"/>
      <c r="H101" s="1"/>
      <c r="I101" s="1"/>
    </row>
    <row r="102" spans="2:9" x14ac:dyDescent="0.55000000000000004">
      <c r="B102" s="1"/>
      <c r="C102" s="1"/>
      <c r="D102" s="1"/>
      <c r="E102" s="1"/>
      <c r="F102" s="1"/>
      <c r="G102" s="1"/>
      <c r="H102" s="1"/>
      <c r="I102" s="1"/>
    </row>
    <row r="103" spans="2:9" x14ac:dyDescent="0.55000000000000004">
      <c r="B103" s="1"/>
      <c r="C103" s="1"/>
      <c r="D103" s="1"/>
      <c r="E103" s="1"/>
      <c r="F103" s="1"/>
      <c r="G103" s="1"/>
      <c r="H103" s="1"/>
      <c r="I103" s="1"/>
    </row>
    <row r="104" spans="2:9" x14ac:dyDescent="0.55000000000000004">
      <c r="B104" s="1"/>
      <c r="C104" s="1"/>
      <c r="D104" s="1"/>
      <c r="E104" s="1"/>
      <c r="F104" s="1"/>
      <c r="G104" s="1"/>
      <c r="H104" s="1"/>
      <c r="I104" s="1"/>
    </row>
    <row r="105" spans="2:9" x14ac:dyDescent="0.55000000000000004">
      <c r="B105" s="1"/>
      <c r="C105" s="1"/>
      <c r="D105" s="1"/>
      <c r="E105" s="1"/>
      <c r="F105" s="1"/>
      <c r="G105" s="1"/>
      <c r="H105" s="1"/>
      <c r="I105" s="1"/>
    </row>
    <row r="106" spans="2:9" x14ac:dyDescent="0.55000000000000004">
      <c r="B106" s="1"/>
      <c r="C106" s="1"/>
      <c r="D106" s="1"/>
      <c r="E106" s="1"/>
      <c r="F106" s="1"/>
      <c r="G106" s="1"/>
      <c r="H106" s="1"/>
      <c r="I106" s="1"/>
    </row>
    <row r="107" spans="2:9" x14ac:dyDescent="0.55000000000000004">
      <c r="B107" s="1"/>
      <c r="C107" s="1"/>
      <c r="D107" s="1"/>
      <c r="E107" s="1"/>
      <c r="F107" s="1"/>
      <c r="G107" s="1"/>
      <c r="H107" s="1"/>
      <c r="I107" s="1"/>
    </row>
    <row r="108" spans="2:9" x14ac:dyDescent="0.55000000000000004">
      <c r="B108" s="1"/>
      <c r="C108" s="1"/>
      <c r="D108" s="1"/>
      <c r="E108" s="1"/>
      <c r="F108" s="1"/>
      <c r="G108" s="1"/>
      <c r="H108" s="1"/>
      <c r="I108" s="1"/>
    </row>
    <row r="109" spans="2:9" x14ac:dyDescent="0.55000000000000004">
      <c r="B109" s="1"/>
      <c r="C109" s="1"/>
      <c r="D109" s="1"/>
      <c r="E109" s="1"/>
      <c r="F109" s="1"/>
      <c r="G109" s="1"/>
      <c r="H109" s="1"/>
      <c r="I109" s="1"/>
    </row>
    <row r="110" spans="2:9" x14ac:dyDescent="0.55000000000000004">
      <c r="B110" s="1"/>
      <c r="C110" s="1"/>
      <c r="D110" s="1"/>
      <c r="E110" s="1"/>
      <c r="F110" s="1"/>
      <c r="G110" s="1"/>
      <c r="H110" s="1"/>
      <c r="I110" s="1"/>
    </row>
    <row r="111" spans="2:9" x14ac:dyDescent="0.55000000000000004">
      <c r="B111" s="1"/>
      <c r="C111" s="1"/>
      <c r="D111" s="1"/>
      <c r="E111" s="1"/>
      <c r="F111" s="1"/>
      <c r="G111" s="1"/>
      <c r="H111" s="1"/>
      <c r="I111" s="1"/>
    </row>
    <row r="112" spans="2:9" x14ac:dyDescent="0.55000000000000004">
      <c r="B112" s="1"/>
      <c r="C112" s="1"/>
      <c r="D112" s="1"/>
      <c r="E112" s="1"/>
      <c r="F112" s="1"/>
      <c r="G112" s="1"/>
      <c r="H112" s="1"/>
      <c r="I112" s="1"/>
    </row>
    <row r="113" spans="2:9" x14ac:dyDescent="0.55000000000000004">
      <c r="B113" s="1"/>
      <c r="C113" s="1"/>
      <c r="D113" s="1"/>
      <c r="E113" s="1"/>
      <c r="F113" s="1"/>
      <c r="G113" s="1"/>
      <c r="H113" s="1"/>
      <c r="I113" s="1"/>
    </row>
    <row r="114" spans="2:9" x14ac:dyDescent="0.55000000000000004">
      <c r="B114" s="1"/>
      <c r="C114" s="1"/>
      <c r="D114" s="1"/>
      <c r="E114" s="1"/>
      <c r="F114" s="1"/>
      <c r="G114" s="1"/>
      <c r="H114" s="1"/>
      <c r="I114" s="1"/>
    </row>
    <row r="115" spans="2:9" x14ac:dyDescent="0.55000000000000004">
      <c r="B115" s="1"/>
      <c r="C115" s="1"/>
      <c r="D115" s="1"/>
      <c r="E115" s="1"/>
      <c r="F115" s="1"/>
      <c r="G115" s="1"/>
      <c r="H115" s="1"/>
      <c r="I115" s="1"/>
    </row>
    <row r="116" spans="2:9" x14ac:dyDescent="0.55000000000000004">
      <c r="B116" s="1"/>
      <c r="C116" s="1"/>
      <c r="D116" s="1"/>
      <c r="E116" s="1"/>
      <c r="F116" s="1"/>
      <c r="G116" s="1"/>
      <c r="H116" s="1"/>
      <c r="I116" s="1"/>
    </row>
    <row r="117" spans="2:9" x14ac:dyDescent="0.55000000000000004">
      <c r="B117" s="1"/>
      <c r="C117" s="1"/>
      <c r="D117" s="1"/>
      <c r="E117" s="1"/>
      <c r="F117" s="1"/>
      <c r="G117" s="1"/>
      <c r="H117" s="1"/>
      <c r="I117" s="1"/>
    </row>
    <row r="118" spans="2:9" x14ac:dyDescent="0.55000000000000004">
      <c r="B118" s="1"/>
      <c r="C118" s="1"/>
      <c r="D118" s="1"/>
      <c r="E118" s="1"/>
      <c r="F118" s="1"/>
      <c r="G118" s="1"/>
      <c r="H118" s="1"/>
      <c r="I118" s="1"/>
    </row>
    <row r="119" spans="2:9" x14ac:dyDescent="0.55000000000000004">
      <c r="B119" s="1"/>
      <c r="C119" s="1"/>
      <c r="D119" s="1"/>
      <c r="E119" s="1"/>
      <c r="F119" s="1"/>
      <c r="G119" s="1"/>
      <c r="H119" s="1"/>
      <c r="I119" s="1"/>
    </row>
    <row r="120" spans="2:9" x14ac:dyDescent="0.55000000000000004">
      <c r="B120" s="1"/>
      <c r="C120" s="1"/>
      <c r="D120" s="1"/>
      <c r="E120" s="1"/>
      <c r="F120" s="1"/>
      <c r="G120" s="1"/>
      <c r="H120" s="1"/>
      <c r="I120" s="1"/>
    </row>
    <row r="121" spans="2:9" x14ac:dyDescent="0.55000000000000004">
      <c r="B121" s="1"/>
      <c r="C121" s="1"/>
      <c r="D121" s="1"/>
      <c r="E121" s="1"/>
      <c r="F121" s="1"/>
      <c r="G121" s="1"/>
      <c r="H121" s="1"/>
      <c r="I121" s="1"/>
    </row>
    <row r="122" spans="2:9" x14ac:dyDescent="0.55000000000000004">
      <c r="B122" s="1"/>
      <c r="C122" s="1"/>
      <c r="D122" s="1"/>
      <c r="E122" s="1"/>
      <c r="F122" s="1"/>
      <c r="G122" s="1"/>
      <c r="H122" s="1"/>
      <c r="I122" s="1"/>
    </row>
    <row r="123" spans="2:9" x14ac:dyDescent="0.55000000000000004">
      <c r="B123" s="1"/>
      <c r="C123" s="1"/>
      <c r="D123" s="1"/>
      <c r="E123" s="1"/>
      <c r="F123" s="1"/>
      <c r="G123" s="1"/>
      <c r="H123" s="1"/>
      <c r="I123" s="1"/>
    </row>
    <row r="124" spans="2:9" x14ac:dyDescent="0.55000000000000004">
      <c r="B124" s="1"/>
      <c r="C124" s="1"/>
      <c r="D124" s="1"/>
      <c r="E124" s="1"/>
      <c r="F124" s="1"/>
      <c r="G124" s="1"/>
      <c r="H124" s="1"/>
      <c r="I124" s="1"/>
    </row>
    <row r="125" spans="2:9" x14ac:dyDescent="0.55000000000000004">
      <c r="B125" s="1"/>
      <c r="C125" s="1"/>
      <c r="D125" s="1"/>
      <c r="E125" s="1"/>
      <c r="F125" s="1"/>
      <c r="G125" s="1"/>
      <c r="H125" s="1"/>
      <c r="I125" s="1"/>
    </row>
    <row r="126" spans="2:9" x14ac:dyDescent="0.55000000000000004">
      <c r="B126" s="1"/>
      <c r="C126" s="1"/>
      <c r="D126" s="1"/>
      <c r="E126" s="1"/>
      <c r="F126" s="1"/>
      <c r="G126" s="1"/>
      <c r="H126" s="1"/>
      <c r="I126" s="1"/>
    </row>
    <row r="127" spans="2:9" x14ac:dyDescent="0.55000000000000004">
      <c r="B127" s="1"/>
      <c r="C127" s="1"/>
      <c r="D127" s="1"/>
      <c r="E127" s="1"/>
      <c r="F127" s="1"/>
      <c r="G127" s="1"/>
      <c r="H127" s="1"/>
      <c r="I12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robert</dc:creator>
  <cp:lastModifiedBy>yves robert</cp:lastModifiedBy>
  <dcterms:created xsi:type="dcterms:W3CDTF">2019-12-10T21:28:39Z</dcterms:created>
  <dcterms:modified xsi:type="dcterms:W3CDTF">2020-01-27T00:12:51Z</dcterms:modified>
</cp:coreProperties>
</file>